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231" codeName="{DD97A8EA-9A9A-E61F-A557-7D5A7D7259CE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PedidoApp\"/>
    </mc:Choice>
  </mc:AlternateContent>
  <xr:revisionPtr revIDLastSave="0" documentId="13_ncr:1_{BC7FE6EA-7BDA-47C4-B289-252A9546E79B}" xr6:coauthVersionLast="47" xr6:coauthVersionMax="47" xr10:uidLastSave="{00000000-0000-0000-0000-000000000000}"/>
  <bookViews>
    <workbookView xWindow="-120" yWindow="-120" windowWidth="21840" windowHeight="13140" xr2:uid="{814C6D6B-F019-48CA-B32B-BA87C96202D2}"/>
  </bookViews>
  <sheets>
    <sheet name="IMPRESSAO_LUUUCAS" sheetId="3" r:id="rId1"/>
    <sheet name="FORNECEDOR_LUUUCAS" sheetId="4" r:id="rId2"/>
  </sheets>
  <functionGroups builtInGroupCount="19"/>
  <externalReferences>
    <externalReference r:id="rId3"/>
  </externalReferenc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1" i="4" l="1"/>
  <c r="D4" i="4"/>
  <c r="D5" i="4"/>
  <c r="E5" i="4" l="1"/>
  <c r="E6" i="4"/>
  <c r="E7" i="4"/>
  <c r="E8" i="4"/>
  <c r="E9" i="4"/>
  <c r="E10" i="4"/>
  <c r="E11" i="4"/>
  <c r="E12" i="4"/>
  <c r="E13" i="4"/>
  <c r="E14" i="4"/>
  <c r="E15" i="4"/>
  <c r="E16" i="4"/>
  <c r="E17" i="4"/>
  <c r="E18" i="4"/>
  <c r="E19" i="4"/>
  <c r="E20" i="4"/>
  <c r="E21" i="4"/>
  <c r="E4" i="4"/>
  <c r="D6" i="4"/>
  <c r="D7" i="4"/>
  <c r="D8" i="4"/>
  <c r="D9" i="4"/>
  <c r="D10" i="4"/>
  <c r="D11" i="4"/>
  <c r="D12" i="4"/>
  <c r="D13" i="4"/>
  <c r="D14" i="4"/>
  <c r="D15" i="4"/>
  <c r="D16" i="4"/>
  <c r="D17" i="4"/>
  <c r="D18" i="4"/>
  <c r="D19" i="4"/>
  <c r="D20" i="4"/>
  <c r="D21" i="4"/>
  <c r="B5" i="4"/>
  <c r="B6" i="4"/>
  <c r="B7" i="4"/>
  <c r="B8" i="4"/>
  <c r="B9" i="4"/>
  <c r="B10" i="4"/>
  <c r="B11" i="4"/>
  <c r="B12" i="4"/>
  <c r="B13" i="4"/>
  <c r="B14" i="4"/>
  <c r="B15" i="4"/>
  <c r="B16" i="4"/>
  <c r="B17" i="4"/>
  <c r="B18" i="4"/>
  <c r="B19" i="4"/>
  <c r="B20" i="4"/>
  <c r="B21" i="4"/>
  <c r="B4" i="4"/>
  <c r="AE16" i="3" l="1"/>
  <c r="AE17" i="3"/>
  <c r="AE18" i="3"/>
  <c r="AE19" i="3"/>
  <c r="AE20" i="3"/>
  <c r="AE21" i="3"/>
  <c r="AE22" i="3"/>
  <c r="AE23" i="3"/>
  <c r="AE24" i="3"/>
  <c r="AE25" i="3"/>
  <c r="AE26" i="3"/>
  <c r="AE27" i="3"/>
  <c r="AE28" i="3"/>
  <c r="AE29" i="3"/>
  <c r="AE30" i="3"/>
  <c r="AE31" i="3"/>
  <c r="AE32" i="3"/>
  <c r="AE15" i="3"/>
  <c r="G46" i="4" l="1"/>
  <c r="G45" i="4"/>
  <c r="G44" i="4"/>
  <c r="G43" i="4"/>
  <c r="G42" i="4"/>
  <c r="G41" i="4"/>
  <c r="G40" i="4"/>
  <c r="G39" i="4"/>
  <c r="G38" i="4"/>
  <c r="G37" i="4"/>
  <c r="G36" i="4"/>
  <c r="G35" i="4"/>
  <c r="G34" i="4"/>
  <c r="G33" i="4"/>
  <c r="G32" i="4"/>
  <c r="G31" i="4"/>
  <c r="G30" i="4"/>
  <c r="G29" i="4"/>
  <c r="G28" i="4"/>
  <c r="G27" i="4"/>
  <c r="G26" i="4"/>
  <c r="G25" i="4"/>
  <c r="G23" i="4"/>
  <c r="F22" i="4"/>
  <c r="D22" i="4"/>
  <c r="F21" i="4"/>
  <c r="F18" i="4"/>
  <c r="F17" i="4"/>
  <c r="F14" i="4"/>
  <c r="F13" i="4"/>
  <c r="F10" i="4"/>
  <c r="F8" i="4"/>
  <c r="F4" i="4"/>
  <c r="AE33" i="3"/>
  <c r="F5" i="4" l="1"/>
  <c r="F11" i="4"/>
  <c r="F7" i="4"/>
  <c r="G4" i="4"/>
  <c r="F6" i="4"/>
  <c r="F12" i="4"/>
  <c r="F16" i="4"/>
  <c r="F20" i="4"/>
  <c r="F15" i="4"/>
  <c r="F19" i="4"/>
  <c r="G8" i="4"/>
  <c r="F9" i="4"/>
  <c r="G9" i="4" s="1"/>
  <c r="G47" i="4" l="1"/>
  <c r="F23" i="4"/>
  <c r="G24" i="4" s="1"/>
</calcChain>
</file>

<file path=xl/sharedStrings.xml><?xml version="1.0" encoding="utf-8"?>
<sst xmlns="http://schemas.openxmlformats.org/spreadsheetml/2006/main" count="43" uniqueCount="42">
  <si>
    <t>TOTAL</t>
  </si>
  <si>
    <t>VIAÇÃO CALVIPE LTDA.</t>
  </si>
  <si>
    <t>PEDIDO Nº:</t>
  </si>
  <si>
    <t>Laranjal Paulista:</t>
  </si>
  <si>
    <t>(15) 3283-1002 - Rua Julio Prestes, 111 - Centro - Cep 18.500-000</t>
  </si>
  <si>
    <t>Cerquilho:</t>
  </si>
  <si>
    <t>(15) 3284-1398 - Avenida Industrial, 880 - Distrito Industrial - Cep 18.520-000</t>
  </si>
  <si>
    <t>Itapetininga:</t>
  </si>
  <si>
    <t>(15) 3373-2226 - Rua Otavio Cerqueira - Jardim Popular - Cep 18.213-150</t>
  </si>
  <si>
    <t>Conchas:</t>
  </si>
  <si>
    <t>(14) 3845-2100 - Rua Trajano Vasconcelos, 67 - Cep 18.570-000</t>
  </si>
  <si>
    <t>de</t>
  </si>
  <si>
    <t>Fornecedor:</t>
  </si>
  <si>
    <t>Vendedor:</t>
  </si>
  <si>
    <t>Endereço:</t>
  </si>
  <si>
    <t>Bairro:</t>
  </si>
  <si>
    <t>Cidade:</t>
  </si>
  <si>
    <t>Est.:</t>
  </si>
  <si>
    <t>Cep:</t>
  </si>
  <si>
    <t>Fax:</t>
  </si>
  <si>
    <t>Condições de pagamento:</t>
  </si>
  <si>
    <t>Quant. das parcelas:</t>
  </si>
  <si>
    <t>Fone:</t>
  </si>
  <si>
    <t>Obs.:</t>
  </si>
  <si>
    <t>QUANT</t>
  </si>
  <si>
    <t>PREFIXO</t>
  </si>
  <si>
    <t>CÓD.</t>
  </si>
  <si>
    <t>DESCRIÇÃO DA(S) MERCADORIA(S)</t>
  </si>
  <si>
    <t>P.UNIT.</t>
  </si>
  <si>
    <t>ESTOQ.</t>
  </si>
  <si>
    <t>TRANSPORTADORA FRETE:</t>
  </si>
  <si>
    <t>TOTAL DA(S) MERCADORIAS(S) / FRETE:</t>
  </si>
  <si>
    <t>ESTOQUE</t>
  </si>
  <si>
    <t>QNTD.</t>
  </si>
  <si>
    <t>ITEM</t>
  </si>
  <si>
    <t>R$ Unitário</t>
  </si>
  <si>
    <t>R$ Total</t>
  </si>
  <si>
    <t>R$ total</t>
  </si>
  <si>
    <t>SCOBE</t>
  </si>
  <si>
    <t>ACEFER</t>
  </si>
  <si>
    <t>Fatura 30/60 DD para  Viação Calvip Cnpj:  54.248.547/0001-30</t>
  </si>
  <si>
    <t>TOTAL: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</si>
</sst>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4" formatCode="_-&quot;R$&quot;\ * #,##0.00_-;\-&quot;R$&quot;\ * #,##0.00_-;_-&quot;R$&quot;\ * &quot;-&quot;??_-;_-@_-"/>
  </numFmts>
  <fonts count="2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9"/>
      <name val="Calibri"/>
      <family val="2"/>
      <scheme val="minor"/>
    </font>
    <font>
      <b/>
      <sz val="16"/>
      <name val="Calibri"/>
      <family val="2"/>
      <scheme val="minor"/>
    </font>
    <font>
      <b/>
      <sz val="11"/>
      <name val="Calibri"/>
      <family val="2"/>
      <scheme val="minor"/>
    </font>
    <font>
      <b/>
      <sz val="14"/>
      <color theme="1"/>
      <name val="Arial Nova"/>
      <family val="2"/>
    </font>
    <font>
      <b/>
      <sz val="13"/>
      <color theme="1"/>
      <name val="Arial Nova"/>
      <family val="2"/>
    </font>
    <font>
      <b/>
      <sz val="18"/>
      <color theme="1"/>
      <name val="Arial Nova"/>
      <family val="2"/>
    </font>
    <font>
      <b/>
      <sz val="9"/>
      <color theme="1"/>
      <name val="Arial Nova"/>
      <family val="2"/>
    </font>
    <font>
      <b/>
      <sz val="10"/>
      <color theme="1"/>
      <name val="Arial Nova"/>
      <family val="2"/>
    </font>
    <font>
      <sz val="10"/>
      <color theme="1"/>
      <name val="Arial Nova"/>
      <family val="2"/>
    </font>
    <font>
      <sz val="9"/>
      <color theme="1"/>
      <name val="Arial Nova"/>
      <family val="2"/>
    </font>
    <font>
      <sz val="11"/>
      <color theme="1"/>
      <name val="Arial Nova"/>
      <family val="2"/>
    </font>
    <font>
      <sz val="14"/>
      <color theme="1"/>
      <name val="Calibri"/>
      <family val="2"/>
      <scheme val="minor"/>
    </font>
    <font>
      <sz val="14"/>
      <color theme="1"/>
      <name val="Arial Nova"/>
      <family val="2"/>
    </font>
    <font>
      <sz val="17"/>
      <color theme="1"/>
      <name val="Arial Nova"/>
      <family val="2"/>
    </font>
    <font>
      <sz val="8.6999999999999993"/>
      <color theme="1"/>
      <name val="Arial Nova"/>
      <family val="2"/>
    </font>
    <font>
      <b/>
      <sz val="18"/>
      <color theme="1"/>
      <name val="Calibri"/>
      <family val="2"/>
      <scheme val="minor"/>
    </font>
    <font>
      <b/>
      <sz val="9"/>
      <name val="Calibri"/>
      <family val="2"/>
      <scheme val="minor"/>
    </font>
    <font>
      <sz val="11"/>
      <name val="Calibri"/>
      <family val="2"/>
      <scheme val="minor"/>
    </font>
    <font>
      <sz val="11"/>
      <color theme="1"/>
      <name val="Calibri"/>
      <family val="2"/>
    </font>
    <font>
      <b/>
      <sz val="11"/>
      <color rgb="FFFF0000"/>
      <name val="Calibri"/>
      <family val="2"/>
      <scheme val="minor"/>
    </font>
    <font>
      <b/>
      <sz val="20"/>
      <name val="Calibri"/>
      <family val="2"/>
      <scheme val="minor"/>
    </font>
    <font>
      <b/>
      <sz val="22"/>
      <name val="Calibri"/>
      <family val="2"/>
      <scheme val="minor"/>
    </font>
    <font>
      <sz val="11"/>
      <name val="Calibri"/>
      <family val="2"/>
    </font>
  </fonts>
  <fills count="2">
    <fill>
      <patternFill patternType="none"/>
    </fill>
    <fill>
      <patternFill patternType="gray125"/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6">
    <xf numFmtId="0" fontId="0" fillId="0" borderId="0"/>
    <xf numFmtId="44" fontId="1" fillId="0" borderId="0" applyFont="0" applyFill="0" applyBorder="0" applyAlignment="0" applyProtection="0"/>
    <xf numFmtId="0" fontId="1" fillId="0" borderId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</cellStyleXfs>
  <cellXfs count="103">
    <xf numFmtId="0" fontId="0" fillId="0" borderId="0" xfId="0"/>
    <xf numFmtId="0" fontId="0" fillId="0" borderId="1" xfId="0" applyBorder="1" applyAlignment="1">
      <alignment horizontal="center"/>
    </xf>
    <xf numFmtId="0" fontId="0" fillId="0" borderId="1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5" fillId="0" borderId="10" xfId="0" applyFont="1" applyBorder="1"/>
    <xf numFmtId="0" fontId="5" fillId="0" borderId="0" xfId="0" applyFont="1"/>
    <xf numFmtId="0" fontId="7" fillId="0" borderId="11" xfId="0" applyFont="1" applyBorder="1" applyAlignment="1">
      <alignment vertical="center"/>
    </xf>
    <xf numFmtId="0" fontId="8" fillId="0" borderId="10" xfId="0" applyFont="1" applyBorder="1"/>
    <xf numFmtId="0" fontId="11" fillId="0" borderId="0" xfId="0" applyFont="1"/>
    <xf numFmtId="0" fontId="12" fillId="0" borderId="0" xfId="0" applyFont="1"/>
    <xf numFmtId="0" fontId="12" fillId="0" borderId="11" xfId="0" applyFont="1" applyBorder="1"/>
    <xf numFmtId="0" fontId="12" fillId="0" borderId="0" xfId="0" applyFont="1" applyAlignment="1">
      <alignment horizontal="center"/>
    </xf>
    <xf numFmtId="0" fontId="11" fillId="0" borderId="0" xfId="0" applyFont="1" applyAlignment="1">
      <alignment horizontal="center"/>
    </xf>
    <xf numFmtId="0" fontId="12" fillId="0" borderId="10" xfId="0" applyFont="1" applyBorder="1"/>
    <xf numFmtId="0" fontId="12" fillId="0" borderId="0" xfId="0" applyFont="1" applyAlignment="1">
      <alignment horizontal="left"/>
    </xf>
    <xf numFmtId="0" fontId="12" fillId="0" borderId="6" xfId="0" applyFont="1" applyBorder="1" applyAlignment="1">
      <alignment horizontal="center"/>
    </xf>
    <xf numFmtId="0" fontId="10" fillId="0" borderId="0" xfId="0" applyFont="1" applyAlignment="1">
      <alignment horizontal="center"/>
    </xf>
    <xf numFmtId="0" fontId="11" fillId="0" borderId="11" xfId="0" applyFont="1" applyBorder="1"/>
    <xf numFmtId="0" fontId="16" fillId="0" borderId="1" xfId="0" applyFont="1" applyBorder="1" applyAlignment="1">
      <alignment horizontal="center" vertical="center"/>
    </xf>
    <xf numFmtId="0" fontId="19" fillId="0" borderId="0" xfId="0" applyFont="1" applyAlignment="1">
      <alignment horizontal="center"/>
    </xf>
    <xf numFmtId="0" fontId="19" fillId="0" borderId="0" xfId="0" applyFont="1"/>
    <xf numFmtId="0" fontId="4" fillId="0" borderId="0" xfId="0" applyFont="1" applyAlignment="1">
      <alignment horizontal="center"/>
    </xf>
    <xf numFmtId="0" fontId="4" fillId="0" borderId="1" xfId="0" applyFont="1" applyBorder="1" applyAlignment="1">
      <alignment horizontal="center" vertical="center"/>
    </xf>
    <xf numFmtId="0" fontId="4" fillId="0" borderId="1" xfId="0" applyFont="1" applyBorder="1" applyAlignment="1">
      <alignment horizontal="center" vertical="center" wrapText="1"/>
    </xf>
    <xf numFmtId="0" fontId="4" fillId="0" borderId="3" xfId="0" applyFont="1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19" fillId="0" borderId="0" xfId="0" applyFont="1" applyAlignment="1">
      <alignment vertical="center"/>
    </xf>
    <xf numFmtId="0" fontId="19" fillId="0" borderId="1" xfId="0" applyFont="1" applyBorder="1" applyAlignment="1">
      <alignment horizontal="center"/>
    </xf>
    <xf numFmtId="0" fontId="18" fillId="0" borderId="1" xfId="0" applyFont="1" applyBorder="1" applyAlignment="1">
      <alignment horizontal="center"/>
    </xf>
    <xf numFmtId="2" fontId="19" fillId="0" borderId="1" xfId="0" applyNumberFormat="1" applyFont="1" applyBorder="1" applyAlignment="1">
      <alignment horizontal="center"/>
    </xf>
    <xf numFmtId="0" fontId="2" fillId="0" borderId="1" xfId="0" applyFont="1" applyBorder="1" applyAlignment="1">
      <alignment horizontal="center"/>
    </xf>
    <xf numFmtId="0" fontId="20" fillId="0" borderId="1" xfId="2" applyFont="1" applyBorder="1" applyAlignment="1">
      <alignment horizontal="center"/>
    </xf>
    <xf numFmtId="0" fontId="19" fillId="0" borderId="4" xfId="0" applyFont="1" applyBorder="1" applyAlignment="1">
      <alignment horizontal="center"/>
    </xf>
    <xf numFmtId="0" fontId="19" fillId="0" borderId="1" xfId="0" applyFont="1" applyBorder="1" applyAlignment="1">
      <alignment horizontal="left" vertical="center" wrapText="1"/>
    </xf>
    <xf numFmtId="2" fontId="19" fillId="0" borderId="2" xfId="0" applyNumberFormat="1" applyFont="1" applyBorder="1" applyAlignment="1">
      <alignment horizontal="center" vertical="center"/>
    </xf>
    <xf numFmtId="0" fontId="19" fillId="0" borderId="0" xfId="0" applyFont="1" applyAlignment="1">
      <alignment horizontal="center" vertical="center"/>
    </xf>
    <xf numFmtId="0" fontId="24" fillId="0" borderId="1" xfId="0" applyFont="1" applyBorder="1" applyAlignment="1">
      <alignment horizontal="center"/>
    </xf>
    <xf numFmtId="0" fontId="19" fillId="0" borderId="9" xfId="0" applyFont="1" applyBorder="1" applyAlignment="1">
      <alignment horizontal="center"/>
    </xf>
    <xf numFmtId="0" fontId="19" fillId="0" borderId="2" xfId="0" applyFont="1" applyBorder="1" applyAlignment="1">
      <alignment horizontal="center"/>
    </xf>
    <xf numFmtId="0" fontId="6" fillId="0" borderId="7" xfId="0" applyFont="1" applyBorder="1" applyAlignment="1">
      <alignment horizontal="left"/>
    </xf>
    <xf numFmtId="0" fontId="6" fillId="0" borderId="8" xfId="0" applyFont="1" applyBorder="1" applyAlignment="1">
      <alignment horizontal="left"/>
    </xf>
    <xf numFmtId="0" fontId="6" fillId="0" borderId="9" xfId="0" applyFont="1" applyBorder="1" applyAlignment="1">
      <alignment horizontal="left"/>
    </xf>
    <xf numFmtId="0" fontId="7" fillId="0" borderId="7" xfId="0" applyFont="1" applyBorder="1" applyAlignment="1">
      <alignment horizontal="center" vertical="center"/>
    </xf>
    <xf numFmtId="0" fontId="7" fillId="0" borderId="8" xfId="0" applyFont="1" applyBorder="1" applyAlignment="1">
      <alignment horizontal="center" vertical="center"/>
    </xf>
    <xf numFmtId="0" fontId="7" fillId="0" borderId="12" xfId="0" applyFont="1" applyBorder="1" applyAlignment="1">
      <alignment horizontal="center" vertical="center"/>
    </xf>
    <xf numFmtId="0" fontId="7" fillId="0" borderId="13" xfId="0" applyFont="1" applyBorder="1" applyAlignment="1">
      <alignment horizontal="center" vertical="center"/>
    </xf>
    <xf numFmtId="0" fontId="7" fillId="0" borderId="9" xfId="0" applyFont="1" applyBorder="1" applyAlignment="1">
      <alignment horizontal="center" vertical="center"/>
    </xf>
    <xf numFmtId="0" fontId="7" fillId="0" borderId="14" xfId="0" applyFont="1" applyBorder="1" applyAlignment="1">
      <alignment horizontal="center" vertical="center"/>
    </xf>
    <xf numFmtId="0" fontId="9" fillId="0" borderId="10" xfId="0" applyFont="1" applyBorder="1" applyAlignment="1">
      <alignment horizontal="left"/>
    </xf>
    <xf numFmtId="0" fontId="9" fillId="0" borderId="0" xfId="0" applyFont="1" applyAlignment="1">
      <alignment horizontal="left"/>
    </xf>
    <xf numFmtId="0" fontId="10" fillId="0" borderId="0" xfId="0" applyFont="1" applyAlignment="1">
      <alignment horizontal="left"/>
    </xf>
    <xf numFmtId="0" fontId="10" fillId="0" borderId="11" xfId="0" applyFont="1" applyBorder="1" applyAlignment="1">
      <alignment horizontal="left"/>
    </xf>
    <xf numFmtId="0" fontId="10" fillId="0" borderId="7" xfId="0" applyFont="1" applyBorder="1" applyAlignment="1">
      <alignment horizontal="left"/>
    </xf>
    <xf numFmtId="0" fontId="10" fillId="0" borderId="8" xfId="0" applyFont="1" applyBorder="1" applyAlignment="1">
      <alignment horizontal="left"/>
    </xf>
    <xf numFmtId="0" fontId="15" fillId="0" borderId="6" xfId="0" applyFont="1" applyBorder="1" applyAlignment="1">
      <alignment horizontal="left"/>
    </xf>
    <xf numFmtId="0" fontId="12" fillId="0" borderId="6" xfId="0" applyFont="1" applyBorder="1" applyAlignment="1">
      <alignment horizontal="center"/>
    </xf>
    <xf numFmtId="0" fontId="10" fillId="0" borderId="10" xfId="0" applyFont="1" applyBorder="1" applyAlignment="1">
      <alignment horizontal="left"/>
    </xf>
    <xf numFmtId="0" fontId="12" fillId="0" borderId="13" xfId="0" applyFont="1" applyBorder="1" applyAlignment="1">
      <alignment horizontal="center"/>
    </xf>
    <xf numFmtId="0" fontId="9" fillId="0" borderId="12" xfId="0" applyFont="1" applyBorder="1" applyAlignment="1">
      <alignment horizontal="left"/>
    </xf>
    <xf numFmtId="0" fontId="9" fillId="0" borderId="13" xfId="0" applyFont="1" applyBorder="1" applyAlignment="1">
      <alignment horizontal="left"/>
    </xf>
    <xf numFmtId="0" fontId="10" fillId="0" borderId="13" xfId="0" applyFont="1" applyBorder="1" applyAlignment="1">
      <alignment horizontal="left"/>
    </xf>
    <xf numFmtId="0" fontId="10" fillId="0" borderId="14" xfId="0" applyFont="1" applyBorder="1" applyAlignment="1">
      <alignment horizontal="left"/>
    </xf>
    <xf numFmtId="0" fontId="14" fillId="0" borderId="13" xfId="0" applyFont="1" applyBorder="1" applyAlignment="1">
      <alignment horizontal="center"/>
    </xf>
    <xf numFmtId="0" fontId="10" fillId="0" borderId="0" xfId="0" applyFont="1" applyAlignment="1">
      <alignment horizontal="center"/>
    </xf>
    <xf numFmtId="0" fontId="12" fillId="0" borderId="6" xfId="0" applyFont="1" applyBorder="1" applyAlignment="1">
      <alignment horizontal="left"/>
    </xf>
    <xf numFmtId="0" fontId="10" fillId="0" borderId="10" xfId="0" applyFont="1" applyBorder="1" applyAlignment="1">
      <alignment horizontal="center"/>
    </xf>
    <xf numFmtId="0" fontId="10" fillId="0" borderId="8" xfId="0" applyFont="1" applyBorder="1" applyAlignment="1">
      <alignment horizontal="center"/>
    </xf>
    <xf numFmtId="0" fontId="12" fillId="0" borderId="12" xfId="0" applyFont="1" applyBorder="1" applyAlignment="1">
      <alignment horizontal="center"/>
    </xf>
    <xf numFmtId="0" fontId="12" fillId="0" borderId="8" xfId="0" applyFont="1" applyBorder="1" applyAlignment="1">
      <alignment horizontal="center"/>
    </xf>
    <xf numFmtId="0" fontId="12" fillId="0" borderId="11" xfId="0" applyFont="1" applyBorder="1" applyAlignment="1">
      <alignment horizontal="center"/>
    </xf>
    <xf numFmtId="0" fontId="16" fillId="0" borderId="5" xfId="0" applyFont="1" applyBorder="1" applyAlignment="1">
      <alignment horizontal="center" vertical="center"/>
    </xf>
    <xf numFmtId="0" fontId="16" fillId="0" borderId="6" xfId="0" applyFont="1" applyBorder="1" applyAlignment="1">
      <alignment horizontal="center" vertical="center"/>
    </xf>
    <xf numFmtId="0" fontId="16" fillId="0" borderId="4" xfId="0" applyFont="1" applyBorder="1" applyAlignment="1">
      <alignment horizontal="center" vertical="center"/>
    </xf>
    <xf numFmtId="0" fontId="16" fillId="0" borderId="1" xfId="0" applyFont="1" applyBorder="1" applyAlignment="1">
      <alignment horizontal="center" vertical="center"/>
    </xf>
    <xf numFmtId="0" fontId="0" fillId="0" borderId="5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4" xfId="0" applyBorder="1" applyAlignment="1">
      <alignment horizontal="center"/>
    </xf>
    <xf numFmtId="39" fontId="0" fillId="0" borderId="5" xfId="0" applyNumberFormat="1" applyBorder="1" applyAlignment="1">
      <alignment horizontal="center"/>
    </xf>
    <xf numFmtId="39" fontId="0" fillId="0" borderId="6" xfId="0" applyNumberFormat="1" applyBorder="1" applyAlignment="1">
      <alignment horizontal="center"/>
    </xf>
    <xf numFmtId="39" fontId="0" fillId="0" borderId="4" xfId="0" applyNumberFormat="1" applyBorder="1" applyAlignment="1">
      <alignment horizontal="center"/>
    </xf>
    <xf numFmtId="2" fontId="0" fillId="0" borderId="5" xfId="0" applyNumberFormat="1" applyBorder="1" applyAlignment="1">
      <alignment horizontal="center"/>
    </xf>
    <xf numFmtId="2" fontId="0" fillId="0" borderId="6" xfId="0" applyNumberFormat="1" applyBorder="1" applyAlignment="1">
      <alignment horizontal="center"/>
    </xf>
    <xf numFmtId="2" fontId="0" fillId="0" borderId="4" xfId="0" applyNumberFormat="1" applyBorder="1" applyAlignment="1">
      <alignment horizontal="center"/>
    </xf>
    <xf numFmtId="0" fontId="0" fillId="0" borderId="1" xfId="0" applyBorder="1" applyAlignment="1">
      <alignment horizontal="center"/>
    </xf>
    <xf numFmtId="17" fontId="0" fillId="0" borderId="5" xfId="0" applyNumberFormat="1" applyBorder="1" applyAlignment="1">
      <alignment horizontal="center"/>
    </xf>
    <xf numFmtId="0" fontId="0" fillId="0" borderId="5" xfId="0" applyBorder="1" applyAlignment="1">
      <alignment horizontal="right"/>
    </xf>
    <xf numFmtId="0" fontId="0" fillId="0" borderId="6" xfId="0" applyBorder="1" applyAlignment="1">
      <alignment horizontal="right"/>
    </xf>
    <xf numFmtId="0" fontId="0" fillId="0" borderId="4" xfId="0" applyBorder="1" applyAlignment="1">
      <alignment horizontal="right"/>
    </xf>
    <xf numFmtId="2" fontId="17" fillId="0" borderId="1" xfId="0" applyNumberFormat="1" applyFont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3" fillId="0" borderId="13" xfId="0" applyFont="1" applyBorder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0" fontId="21" fillId="0" borderId="7" xfId="0" applyFont="1" applyBorder="1" applyAlignment="1">
      <alignment horizontal="center" vertical="center"/>
    </xf>
    <xf numFmtId="0" fontId="21" fillId="0" borderId="8" xfId="0" applyFont="1" applyBorder="1" applyAlignment="1">
      <alignment horizontal="center" vertical="center"/>
    </xf>
    <xf numFmtId="0" fontId="21" fillId="0" borderId="12" xfId="0" applyFont="1" applyBorder="1" applyAlignment="1">
      <alignment horizontal="center" vertical="center"/>
    </xf>
    <xf numFmtId="0" fontId="21" fillId="0" borderId="13" xfId="0" applyFont="1" applyBorder="1" applyAlignment="1">
      <alignment horizontal="center" vertical="center"/>
    </xf>
    <xf numFmtId="0" fontId="22" fillId="0" borderId="7" xfId="0" applyFont="1" applyBorder="1" applyAlignment="1">
      <alignment horizontal="right" vertical="center"/>
    </xf>
    <xf numFmtId="0" fontId="22" fillId="0" borderId="12" xfId="0" applyFont="1" applyBorder="1" applyAlignment="1">
      <alignment horizontal="right" vertical="center"/>
    </xf>
    <xf numFmtId="2" fontId="23" fillId="0" borderId="9" xfId="4" applyNumberFormat="1" applyFont="1" applyBorder="1" applyAlignment="1">
      <alignment horizontal="center" vertical="center" shrinkToFit="1"/>
    </xf>
    <xf numFmtId="2" fontId="23" fillId="0" borderId="14" xfId="4" applyNumberFormat="1" applyFont="1" applyBorder="1" applyAlignment="1">
      <alignment horizontal="center" vertical="center" shrinkToFit="1"/>
    </xf>
    <xf numFmtId="49" fontId="13" fillId="0" borderId="13" xfId="0" applyNumberFormat="1" applyFont="1" applyBorder="1" applyAlignment="1">
      <alignment horizontal="center"/>
    </xf>
  </cellXfs>
  <cellStyles count="6">
    <cellStyle name="Moeda" xfId="4" builtinId="4"/>
    <cellStyle name="Moeda 10" xfId="1" xr:uid="{50329F36-B927-49DF-AC51-055211CC8FFF}"/>
    <cellStyle name="Moeda 11" xfId="3" xr:uid="{13BBF593-E760-4AF3-923E-B8DEED893AB8}"/>
    <cellStyle name="Moeda 13" xfId="5" xr:uid="{E56D8027-E648-4642-AAC0-960AB352F382}"/>
    <cellStyle name="Normal" xfId="0" builtinId="0"/>
    <cellStyle name="Normal 4" xfId="2" xr:uid="{707E8752-E6F1-41CD-B4B8-C1A6450993EA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externalLink" Target="externalLinks/externalLink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Usuario\Desktop\FAZER%20PEDIDO\PEDIDO%20COMPLETO%20LUUUCAS.xlsm" TargetMode="External"/><Relationship Id="rId1" Type="http://schemas.openxmlformats.org/officeDocument/2006/relationships/externalLinkPath" Target="/Users/Usuario/Desktop/FAZER%20PEDIDO/PEDIDO%20COMPLETO%20LUUUCA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IMPRESSÃO"/>
      <sheetName val="FORNECEDOR"/>
    </sheetNames>
    <sheetDataSet>
      <sheetData sheetId="0">
        <row r="33">
          <cell r="K33" t="str">
            <v>TRANSPORTADORA FRETE:</v>
          </cell>
        </row>
      </sheetData>
      <sheetData sheetId="1"/>
    </sheetDataSet>
  </externalBook>
</externalLink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C2E6E0-DBFE-4068-8BA8-48E541108B28}">
  <sheetPr codeName="Planilha3"/>
  <dimension ref="A1:AI34"/>
  <sheetViews>
    <sheetView tabSelected="1" zoomScale="85" zoomScaleNormal="85" workbookViewId="0">
      <selection activeCell="V6" sqref="V6"/>
    </sheetView>
  </sheetViews>
  <sheetFormatPr defaultColWidth="9.7109375" defaultRowHeight="15" x14ac:dyDescent="0.25"/>
  <cols>
    <col min="1" max="1" width="0.7109375" customWidth="1"/>
    <col min="2" max="2" width="1.7109375" customWidth="1"/>
    <col min="3" max="3" width="2.42578125" customWidth="1"/>
    <col min="4" max="4" width="1.85546875" customWidth="1"/>
    <col min="5" max="5" width="2.28515625" customWidth="1"/>
    <col min="6" max="6" width="0.7109375" customWidth="1"/>
    <col min="7" max="7" width="6.42578125" customWidth="1"/>
    <col min="8" max="8" width="5.140625" customWidth="1"/>
    <col min="9" max="9" width="8.42578125" customWidth="1"/>
    <col min="10" max="10" width="10.85546875" customWidth="1"/>
    <col min="13" max="13" width="4.42578125" customWidth="1"/>
    <col min="14" max="14" width="6.7109375" customWidth="1"/>
    <col min="15" max="17" width="1.7109375" customWidth="1"/>
    <col min="18" max="18" width="0.42578125" customWidth="1"/>
    <col min="19" max="19" width="0.42578125" hidden="1" customWidth="1"/>
    <col min="20" max="20" width="1.140625" customWidth="1"/>
    <col min="21" max="21" width="2.140625" customWidth="1"/>
    <col min="22" max="22" width="18.42578125" customWidth="1"/>
    <col min="23" max="23" width="3" customWidth="1"/>
    <col min="24" max="24" width="1.42578125" customWidth="1"/>
    <col min="25" max="25" width="2.7109375" customWidth="1"/>
    <col min="26" max="26" width="1.140625" customWidth="1"/>
    <col min="27" max="28" width="0.7109375" customWidth="1"/>
    <col min="29" max="30" width="2.7109375" customWidth="1"/>
    <col min="31" max="31" width="9.28515625" customWidth="1"/>
    <col min="32" max="32" width="3" customWidth="1"/>
    <col min="33" max="33" width="3" bestFit="1" customWidth="1"/>
    <col min="34" max="34" width="6.140625" customWidth="1"/>
    <col min="35" max="35" width="0.7109375" customWidth="1"/>
  </cols>
  <sheetData>
    <row r="1" spans="1:35" ht="5.25" customHeight="1" x14ac:dyDescent="0.25">
      <c r="A1" s="3"/>
      <c r="B1" s="4"/>
      <c r="C1" s="4"/>
      <c r="D1" s="4"/>
      <c r="E1" s="4"/>
      <c r="F1" s="4"/>
      <c r="G1" s="4"/>
      <c r="H1" s="4"/>
      <c r="I1" s="4"/>
      <c r="J1" s="4"/>
      <c r="K1" s="4"/>
      <c r="L1" s="4"/>
      <c r="M1" s="4"/>
      <c r="N1" s="4"/>
      <c r="O1" s="4"/>
      <c r="P1" s="4"/>
      <c r="Q1" s="4"/>
      <c r="R1" s="4"/>
      <c r="S1" s="4"/>
      <c r="T1" s="4"/>
      <c r="U1" s="4"/>
      <c r="V1" s="4"/>
      <c r="W1" s="4"/>
      <c r="X1" s="4"/>
      <c r="Y1" s="4"/>
      <c r="Z1" s="4"/>
      <c r="AA1" s="4"/>
      <c r="AB1" s="4"/>
      <c r="AC1" s="4"/>
      <c r="AD1" s="4"/>
      <c r="AE1" s="4"/>
      <c r="AF1" s="4"/>
      <c r="AG1" s="4"/>
      <c r="AH1" s="4"/>
      <c r="AI1" s="5"/>
    </row>
    <row r="2" spans="1:35" ht="18.95" customHeight="1" x14ac:dyDescent="0.25">
      <c r="A2" s="6"/>
      <c r="B2" s="41" t="s">
        <v>1</v>
      </c>
      <c r="C2" s="42"/>
      <c r="D2" s="42"/>
      <c r="E2" s="42"/>
      <c r="F2" s="42"/>
      <c r="G2" s="42"/>
      <c r="H2" s="42"/>
      <c r="I2" s="42"/>
      <c r="J2" s="42"/>
      <c r="K2" s="42"/>
      <c r="L2" s="42"/>
      <c r="M2" s="42"/>
      <c r="N2" s="42"/>
      <c r="O2" s="42"/>
      <c r="P2" s="42"/>
      <c r="Q2" s="42"/>
      <c r="R2" s="42"/>
      <c r="S2" s="42"/>
      <c r="T2" s="43"/>
      <c r="U2" s="7"/>
      <c r="X2" s="44" t="s">
        <v>2</v>
      </c>
      <c r="Y2" s="45"/>
      <c r="Z2" s="45"/>
      <c r="AA2" s="45"/>
      <c r="AB2" s="45"/>
      <c r="AC2" s="45"/>
      <c r="AD2" s="45"/>
      <c r="AE2" s="45"/>
      <c r="AF2" s="45"/>
      <c r="AG2" s="45"/>
      <c r="AH2" s="48"/>
      <c r="AI2" s="8"/>
    </row>
    <row r="3" spans="1:35" ht="16.5" customHeight="1" x14ac:dyDescent="0.25">
      <c r="A3" s="9"/>
      <c r="B3" s="50" t="s">
        <v>3</v>
      </c>
      <c r="C3" s="51"/>
      <c r="D3" s="51"/>
      <c r="E3" s="51"/>
      <c r="F3" s="51"/>
      <c r="G3" s="51"/>
      <c r="H3" s="52" t="s">
        <v>4</v>
      </c>
      <c r="I3" s="52"/>
      <c r="J3" s="52"/>
      <c r="K3" s="52"/>
      <c r="L3" s="52"/>
      <c r="M3" s="52"/>
      <c r="N3" s="52"/>
      <c r="O3" s="52"/>
      <c r="P3" s="52"/>
      <c r="Q3" s="52"/>
      <c r="R3" s="52"/>
      <c r="S3" s="52"/>
      <c r="T3" s="53"/>
      <c r="U3" s="10"/>
      <c r="X3" s="46"/>
      <c r="Y3" s="47"/>
      <c r="Z3" s="47"/>
      <c r="AA3" s="47"/>
      <c r="AB3" s="47"/>
      <c r="AC3" s="47"/>
      <c r="AD3" s="47"/>
      <c r="AE3" s="47"/>
      <c r="AF3" s="47"/>
      <c r="AG3" s="47"/>
      <c r="AH3" s="49"/>
      <c r="AI3" s="8"/>
    </row>
    <row r="4" spans="1:35" ht="16.5" customHeight="1" x14ac:dyDescent="0.25">
      <c r="A4" s="9"/>
      <c r="B4" s="50" t="s">
        <v>5</v>
      </c>
      <c r="C4" s="51"/>
      <c r="D4" s="51"/>
      <c r="E4" s="51"/>
      <c r="F4" s="51"/>
      <c r="G4" s="51"/>
      <c r="H4" s="52" t="s">
        <v>6</v>
      </c>
      <c r="I4" s="52"/>
      <c r="J4" s="52"/>
      <c r="K4" s="52"/>
      <c r="L4" s="52"/>
      <c r="M4" s="52"/>
      <c r="N4" s="52"/>
      <c r="O4" s="52"/>
      <c r="P4" s="52"/>
      <c r="Q4" s="52"/>
      <c r="R4" s="52"/>
      <c r="S4" s="52"/>
      <c r="T4" s="53"/>
      <c r="U4" s="10"/>
      <c r="V4" s="11"/>
      <c r="W4" s="11"/>
      <c r="X4" s="11"/>
      <c r="Y4" s="11"/>
      <c r="Z4" s="11"/>
      <c r="AA4" s="11"/>
      <c r="AB4" s="11"/>
      <c r="AC4" s="11"/>
      <c r="AD4" s="11"/>
      <c r="AE4" s="11"/>
      <c r="AF4" s="11"/>
      <c r="AG4" s="11"/>
      <c r="AH4" s="11"/>
      <c r="AI4" s="12"/>
    </row>
    <row r="5" spans="1:35" ht="16.5" customHeight="1" x14ac:dyDescent="0.25">
      <c r="A5" s="9"/>
      <c r="B5" s="50" t="s">
        <v>7</v>
      </c>
      <c r="C5" s="51"/>
      <c r="D5" s="51"/>
      <c r="E5" s="51"/>
      <c r="F5" s="51"/>
      <c r="G5" s="51"/>
      <c r="H5" s="52" t="s">
        <v>8</v>
      </c>
      <c r="I5" s="52"/>
      <c r="J5" s="52"/>
      <c r="K5" s="52"/>
      <c r="L5" s="52"/>
      <c r="M5" s="52"/>
      <c r="N5" s="52"/>
      <c r="O5" s="52"/>
      <c r="P5" s="52"/>
      <c r="Q5" s="52"/>
      <c r="R5" s="52"/>
      <c r="S5" s="52"/>
      <c r="T5" s="53"/>
      <c r="U5" s="10"/>
      <c r="V5" s="13"/>
      <c r="W5" s="13"/>
      <c r="X5" s="13"/>
      <c r="Y5" s="13"/>
      <c r="Z5" s="13"/>
      <c r="AA5" s="13"/>
      <c r="AB5" s="13"/>
      <c r="AC5" s="13"/>
      <c r="AD5" s="13"/>
      <c r="AE5" s="13"/>
      <c r="AF5" s="13"/>
      <c r="AG5" s="13"/>
      <c r="AH5" s="13"/>
      <c r="AI5" s="12"/>
    </row>
    <row r="6" spans="1:35" ht="16.5" customHeight="1" x14ac:dyDescent="0.3">
      <c r="A6" s="9"/>
      <c r="B6" s="60" t="s">
        <v>9</v>
      </c>
      <c r="C6" s="61"/>
      <c r="D6" s="61"/>
      <c r="E6" s="61"/>
      <c r="F6" s="61"/>
      <c r="G6" s="61"/>
      <c r="H6" s="62" t="s">
        <v>10</v>
      </c>
      <c r="I6" s="62"/>
      <c r="J6" s="62"/>
      <c r="K6" s="62"/>
      <c r="L6" s="62"/>
      <c r="M6" s="62"/>
      <c r="N6" s="62"/>
      <c r="O6" s="62"/>
      <c r="P6" s="62"/>
      <c r="Q6" s="62"/>
      <c r="R6" s="62"/>
      <c r="S6" s="62"/>
      <c r="T6" s="63"/>
      <c r="U6" s="10"/>
      <c r="V6" s="102"/>
      <c r="W6" s="10" t="s">
        <v>11</v>
      </c>
      <c r="X6" s="64"/>
      <c r="Y6" s="64"/>
      <c r="Z6" s="64"/>
      <c r="AA6" s="64"/>
      <c r="AB6" s="64"/>
      <c r="AC6" s="64"/>
      <c r="AD6" s="64"/>
      <c r="AE6" s="64"/>
      <c r="AF6" s="14" t="s">
        <v>11</v>
      </c>
      <c r="AG6" s="64"/>
      <c r="AH6" s="64"/>
      <c r="AI6" s="12"/>
    </row>
    <row r="7" spans="1:35" ht="6" customHeight="1" x14ac:dyDescent="0.25">
      <c r="A7" s="15"/>
      <c r="B7" s="11"/>
      <c r="C7" s="11"/>
      <c r="D7" s="11"/>
      <c r="E7" s="11"/>
      <c r="F7" s="11"/>
      <c r="G7" s="11"/>
      <c r="H7" s="11"/>
      <c r="I7" s="11"/>
      <c r="J7" s="11"/>
      <c r="K7" s="11"/>
      <c r="L7" s="11"/>
      <c r="M7" s="11"/>
      <c r="N7" s="11"/>
      <c r="O7" s="11"/>
      <c r="P7" s="11"/>
      <c r="Q7" s="11"/>
      <c r="R7" s="11"/>
      <c r="S7" s="11"/>
      <c r="T7" s="11"/>
      <c r="U7" s="11"/>
      <c r="V7" s="11"/>
      <c r="W7" s="11"/>
      <c r="X7" s="16"/>
      <c r="Y7" s="16"/>
      <c r="Z7" s="16"/>
      <c r="AA7" s="16"/>
      <c r="AB7" s="16"/>
      <c r="AC7" s="16"/>
      <c r="AD7" s="16"/>
      <c r="AE7" s="11"/>
      <c r="AF7" s="11"/>
      <c r="AG7" s="11"/>
      <c r="AH7" s="11"/>
      <c r="AI7" s="12"/>
    </row>
    <row r="8" spans="1:35" ht="20.25" customHeight="1" x14ac:dyDescent="0.3">
      <c r="A8" s="54" t="s">
        <v>12</v>
      </c>
      <c r="B8" s="55"/>
      <c r="C8" s="55"/>
      <c r="D8" s="55"/>
      <c r="E8" s="55"/>
      <c r="F8" s="55"/>
      <c r="G8" s="56"/>
      <c r="H8" s="56"/>
      <c r="I8" s="56"/>
      <c r="J8" s="56"/>
      <c r="K8" s="56"/>
      <c r="L8" s="56"/>
      <c r="M8" s="56"/>
      <c r="N8" s="56"/>
      <c r="O8" s="56"/>
      <c r="P8" s="56"/>
      <c r="Q8" s="56"/>
      <c r="R8" s="56"/>
      <c r="S8" s="56"/>
      <c r="T8" s="56"/>
      <c r="U8" s="56"/>
      <c r="V8" s="56"/>
      <c r="W8" s="56"/>
      <c r="X8" s="55" t="s">
        <v>13</v>
      </c>
      <c r="Y8" s="55"/>
      <c r="Z8" s="55"/>
      <c r="AA8" s="55"/>
      <c r="AB8" s="55"/>
      <c r="AC8" s="55"/>
      <c r="AD8" s="57"/>
      <c r="AE8" s="57"/>
      <c r="AF8" s="57"/>
      <c r="AG8" s="57"/>
      <c r="AH8" s="57"/>
      <c r="AI8" s="12"/>
    </row>
    <row r="9" spans="1:35" ht="20.25" customHeight="1" x14ac:dyDescent="0.25">
      <c r="A9" s="58" t="s">
        <v>14</v>
      </c>
      <c r="B9" s="52"/>
      <c r="C9" s="52"/>
      <c r="D9" s="52"/>
      <c r="E9" s="52"/>
      <c r="F9" s="59"/>
      <c r="G9" s="59"/>
      <c r="H9" s="59"/>
      <c r="I9" s="59"/>
      <c r="J9" s="59"/>
      <c r="K9" s="59"/>
      <c r="L9" s="59"/>
      <c r="M9" s="59"/>
      <c r="N9" s="59"/>
      <c r="O9" s="59"/>
      <c r="P9" s="59"/>
      <c r="Q9" s="59"/>
      <c r="R9" s="59"/>
      <c r="S9" s="59"/>
      <c r="T9" s="59"/>
      <c r="U9" s="59"/>
      <c r="V9" s="59"/>
      <c r="W9" s="59"/>
      <c r="X9" s="52" t="s">
        <v>15</v>
      </c>
      <c r="Y9" s="52"/>
      <c r="Z9" s="52"/>
      <c r="AA9" s="52"/>
      <c r="AB9" s="59"/>
      <c r="AC9" s="59"/>
      <c r="AD9" s="59"/>
      <c r="AE9" s="59"/>
      <c r="AF9" s="59"/>
      <c r="AG9" s="59"/>
      <c r="AH9" s="59"/>
      <c r="AI9" s="12"/>
    </row>
    <row r="10" spans="1:35" ht="20.25" customHeight="1" x14ac:dyDescent="0.25">
      <c r="A10" s="67" t="s">
        <v>16</v>
      </c>
      <c r="B10" s="65"/>
      <c r="C10" s="65"/>
      <c r="D10" s="65"/>
      <c r="E10" s="59"/>
      <c r="F10" s="59"/>
      <c r="G10" s="59"/>
      <c r="H10" s="59"/>
      <c r="I10" s="59"/>
      <c r="J10" s="59"/>
      <c r="K10" s="59"/>
      <c r="L10" s="59"/>
      <c r="M10" s="18" t="s">
        <v>17</v>
      </c>
      <c r="N10" s="17"/>
      <c r="O10" s="68" t="s">
        <v>18</v>
      </c>
      <c r="P10" s="68"/>
      <c r="Q10" s="68"/>
      <c r="R10" s="57"/>
      <c r="S10" s="57"/>
      <c r="T10" s="57"/>
      <c r="U10" s="57"/>
      <c r="V10" s="57"/>
      <c r="W10" s="57"/>
      <c r="X10" s="52" t="s">
        <v>19</v>
      </c>
      <c r="Y10" s="52"/>
      <c r="Z10" s="59"/>
      <c r="AA10" s="59"/>
      <c r="AB10" s="59"/>
      <c r="AC10" s="59"/>
      <c r="AD10" s="59"/>
      <c r="AE10" s="59"/>
      <c r="AF10" s="59"/>
      <c r="AG10" s="59"/>
      <c r="AH10" s="59"/>
      <c r="AI10" s="12"/>
    </row>
    <row r="11" spans="1:35" ht="20.25" customHeight="1" x14ac:dyDescent="0.25">
      <c r="A11" s="58" t="s">
        <v>20</v>
      </c>
      <c r="B11" s="52"/>
      <c r="C11" s="52"/>
      <c r="D11" s="52"/>
      <c r="E11" s="52"/>
      <c r="F11" s="52"/>
      <c r="G11" s="52"/>
      <c r="H11" s="52"/>
      <c r="I11" s="57"/>
      <c r="J11" s="57"/>
      <c r="K11" s="57"/>
      <c r="L11" s="57"/>
      <c r="M11" s="65" t="s">
        <v>21</v>
      </c>
      <c r="N11" s="65"/>
      <c r="O11" s="65"/>
      <c r="P11" s="65"/>
      <c r="Q11" s="65"/>
      <c r="R11" s="65"/>
      <c r="S11" s="59"/>
      <c r="T11" s="59"/>
      <c r="U11" s="59"/>
      <c r="V11" s="59"/>
      <c r="W11" s="59"/>
      <c r="X11" s="52" t="s">
        <v>22</v>
      </c>
      <c r="Y11" s="52"/>
      <c r="Z11" s="52"/>
      <c r="AA11" s="66"/>
      <c r="AB11" s="66"/>
      <c r="AC11" s="66"/>
      <c r="AD11" s="66"/>
      <c r="AE11" s="66"/>
      <c r="AF11" s="66"/>
      <c r="AG11" s="66"/>
      <c r="AH11" s="66"/>
      <c r="AI11" s="12"/>
    </row>
    <row r="12" spans="1:35" ht="20.25" customHeight="1" x14ac:dyDescent="0.25">
      <c r="A12" s="58" t="s">
        <v>23</v>
      </c>
      <c r="B12" s="52"/>
      <c r="C12" s="52"/>
      <c r="D12" s="59"/>
      <c r="E12" s="59"/>
      <c r="F12" s="59"/>
      <c r="G12" s="59"/>
      <c r="H12" s="59"/>
      <c r="I12" s="59"/>
      <c r="J12" s="59"/>
      <c r="K12" s="59"/>
      <c r="L12" s="59"/>
      <c r="M12" s="59"/>
      <c r="N12" s="59"/>
      <c r="O12" s="59"/>
      <c r="P12" s="59"/>
      <c r="Q12" s="59"/>
      <c r="R12" s="59"/>
      <c r="S12" s="59"/>
      <c r="T12" s="59"/>
      <c r="U12" s="59"/>
      <c r="V12" s="59"/>
      <c r="W12" s="59"/>
      <c r="X12" s="59"/>
      <c r="Y12" s="59"/>
      <c r="Z12" s="59"/>
      <c r="AA12" s="59"/>
      <c r="AB12" s="59"/>
      <c r="AC12" s="59"/>
      <c r="AD12" s="59"/>
      <c r="AE12" s="59"/>
      <c r="AF12" s="59"/>
      <c r="AG12" s="59"/>
      <c r="AH12" s="59"/>
      <c r="AI12" s="19"/>
    </row>
    <row r="13" spans="1:35" ht="3.95" customHeight="1" x14ac:dyDescent="0.25">
      <c r="A13" s="69"/>
      <c r="B13" s="59"/>
      <c r="C13" s="59"/>
      <c r="D13" s="59"/>
      <c r="E13" s="59"/>
      <c r="F13" s="59"/>
      <c r="G13" s="57"/>
      <c r="H13" s="57"/>
      <c r="I13" s="57"/>
      <c r="J13" s="57"/>
      <c r="K13" s="57"/>
      <c r="L13" s="57"/>
      <c r="M13" s="57"/>
      <c r="N13" s="57"/>
      <c r="O13" s="57"/>
      <c r="P13" s="57"/>
      <c r="Q13" s="57"/>
      <c r="R13" s="57"/>
      <c r="S13" s="57"/>
      <c r="T13" s="57"/>
      <c r="U13" s="57"/>
      <c r="V13" s="57"/>
      <c r="W13" s="57"/>
      <c r="X13" s="57"/>
      <c r="Y13" s="57"/>
      <c r="Z13" s="57"/>
      <c r="AA13" s="57"/>
      <c r="AB13" s="57"/>
      <c r="AC13" s="57"/>
      <c r="AD13" s="57"/>
      <c r="AE13" s="57"/>
      <c r="AF13" s="57"/>
      <c r="AG13" s="57"/>
      <c r="AH13" s="70"/>
      <c r="AI13" s="71"/>
    </row>
    <row r="14" spans="1:35" ht="14.1" customHeight="1" x14ac:dyDescent="0.25">
      <c r="A14" s="72" t="s">
        <v>24</v>
      </c>
      <c r="B14" s="73"/>
      <c r="C14" s="73"/>
      <c r="D14" s="73"/>
      <c r="E14" s="74"/>
      <c r="F14" s="72" t="s">
        <v>25</v>
      </c>
      <c r="G14" s="73"/>
      <c r="H14" s="73"/>
      <c r="I14" s="74"/>
      <c r="J14" s="20" t="s">
        <v>26</v>
      </c>
      <c r="K14" s="72" t="s">
        <v>27</v>
      </c>
      <c r="L14" s="73"/>
      <c r="M14" s="73"/>
      <c r="N14" s="73"/>
      <c r="O14" s="73"/>
      <c r="P14" s="73"/>
      <c r="Q14" s="73"/>
      <c r="R14" s="73"/>
      <c r="S14" s="73"/>
      <c r="T14" s="73"/>
      <c r="U14" s="73"/>
      <c r="V14" s="73"/>
      <c r="W14" s="74"/>
      <c r="X14" s="72" t="s">
        <v>28</v>
      </c>
      <c r="Y14" s="73"/>
      <c r="Z14" s="73"/>
      <c r="AA14" s="73"/>
      <c r="AB14" s="73"/>
      <c r="AC14" s="73"/>
      <c r="AD14" s="74"/>
      <c r="AE14" s="72" t="s">
        <v>0</v>
      </c>
      <c r="AF14" s="73"/>
      <c r="AG14" s="74"/>
      <c r="AH14" s="75" t="s">
        <v>29</v>
      </c>
      <c r="AI14" s="75"/>
    </row>
    <row r="15" spans="1:35" ht="18" customHeight="1" x14ac:dyDescent="0.25">
      <c r="A15" s="76"/>
      <c r="B15" s="77"/>
      <c r="C15" s="77"/>
      <c r="D15" s="77"/>
      <c r="E15" s="78"/>
      <c r="F15" s="86"/>
      <c r="G15" s="77"/>
      <c r="H15" s="77"/>
      <c r="I15" s="78"/>
      <c r="J15" s="1"/>
      <c r="K15" s="76"/>
      <c r="L15" s="77"/>
      <c r="M15" s="77"/>
      <c r="N15" s="77"/>
      <c r="O15" s="77"/>
      <c r="P15" s="77"/>
      <c r="Q15" s="77"/>
      <c r="R15" s="77"/>
      <c r="S15" s="77"/>
      <c r="T15" s="77"/>
      <c r="U15" s="77"/>
      <c r="V15" s="77"/>
      <c r="W15" s="78"/>
      <c r="X15" s="79"/>
      <c r="Y15" s="80"/>
      <c r="Z15" s="80"/>
      <c r="AA15" s="80"/>
      <c r="AB15" s="80"/>
      <c r="AC15" s="80"/>
      <c r="AD15" s="81"/>
      <c r="AE15" s="82">
        <f>A15*X15</f>
        <v>0</v>
      </c>
      <c r="AF15" s="83"/>
      <c r="AG15" s="84"/>
      <c r="AH15" s="85"/>
      <c r="AI15" s="85"/>
    </row>
    <row r="16" spans="1:35" ht="18" customHeight="1" x14ac:dyDescent="0.25">
      <c r="A16" s="76"/>
      <c r="B16" s="77"/>
      <c r="C16" s="77"/>
      <c r="D16" s="77"/>
      <c r="E16" s="78"/>
      <c r="F16" s="76"/>
      <c r="G16" s="77"/>
      <c r="H16" s="77"/>
      <c r="I16" s="78"/>
      <c r="J16" s="1"/>
      <c r="K16" s="76"/>
      <c r="L16" s="77"/>
      <c r="M16" s="77"/>
      <c r="N16" s="77"/>
      <c r="O16" s="77"/>
      <c r="P16" s="77"/>
      <c r="Q16" s="77"/>
      <c r="R16" s="77"/>
      <c r="S16" s="77"/>
      <c r="T16" s="77"/>
      <c r="U16" s="77"/>
      <c r="V16" s="77"/>
      <c r="W16" s="78"/>
      <c r="X16" s="79"/>
      <c r="Y16" s="80"/>
      <c r="Z16" s="80"/>
      <c r="AA16" s="80"/>
      <c r="AB16" s="80"/>
      <c r="AC16" s="80"/>
      <c r="AD16" s="81"/>
      <c r="AE16" s="82">
        <f t="shared" ref="AE16:AE32" si="0">A16*X16</f>
        <v>0</v>
      </c>
      <c r="AF16" s="83"/>
      <c r="AG16" s="84"/>
      <c r="AH16" s="85"/>
      <c r="AI16" s="85"/>
    </row>
    <row r="17" spans="1:35" ht="18" customHeight="1" x14ac:dyDescent="0.25">
      <c r="A17" s="76"/>
      <c r="B17" s="77"/>
      <c r="C17" s="77"/>
      <c r="D17" s="77"/>
      <c r="E17" s="78"/>
      <c r="F17" s="76"/>
      <c r="G17" s="77"/>
      <c r="H17" s="77"/>
      <c r="I17" s="78"/>
      <c r="J17" s="1"/>
      <c r="K17" s="76"/>
      <c r="L17" s="77"/>
      <c r="M17" s="77"/>
      <c r="N17" s="77"/>
      <c r="O17" s="77"/>
      <c r="P17" s="77"/>
      <c r="Q17" s="77"/>
      <c r="R17" s="77"/>
      <c r="S17" s="77"/>
      <c r="T17" s="77"/>
      <c r="U17" s="77"/>
      <c r="V17" s="77"/>
      <c r="W17" s="78"/>
      <c r="X17" s="79"/>
      <c r="Y17" s="80"/>
      <c r="Z17" s="80"/>
      <c r="AA17" s="80"/>
      <c r="AB17" s="80"/>
      <c r="AC17" s="80"/>
      <c r="AD17" s="81"/>
      <c r="AE17" s="82">
        <f t="shared" si="0"/>
        <v>0</v>
      </c>
      <c r="AF17" s="83"/>
      <c r="AG17" s="84"/>
      <c r="AH17" s="85"/>
      <c r="AI17" s="85"/>
    </row>
    <row r="18" spans="1:35" ht="18" customHeight="1" x14ac:dyDescent="0.25">
      <c r="A18" s="76"/>
      <c r="B18" s="77"/>
      <c r="C18" s="77"/>
      <c r="D18" s="77"/>
      <c r="E18" s="78"/>
      <c r="F18" s="76"/>
      <c r="G18" s="77"/>
      <c r="H18" s="77"/>
      <c r="I18" s="78"/>
      <c r="J18" s="1"/>
      <c r="K18" s="76"/>
      <c r="L18" s="77"/>
      <c r="M18" s="77"/>
      <c r="N18" s="77"/>
      <c r="O18" s="77"/>
      <c r="P18" s="77"/>
      <c r="Q18" s="77"/>
      <c r="R18" s="77"/>
      <c r="S18" s="77"/>
      <c r="T18" s="77"/>
      <c r="U18" s="77"/>
      <c r="V18" s="77"/>
      <c r="W18" s="78"/>
      <c r="X18" s="79"/>
      <c r="Y18" s="80"/>
      <c r="Z18" s="80"/>
      <c r="AA18" s="80"/>
      <c r="AB18" s="80"/>
      <c r="AC18" s="80"/>
      <c r="AD18" s="81"/>
      <c r="AE18" s="82">
        <f t="shared" si="0"/>
        <v>0</v>
      </c>
      <c r="AF18" s="83"/>
      <c r="AG18" s="84"/>
      <c r="AH18" s="85"/>
      <c r="AI18" s="85"/>
    </row>
    <row r="19" spans="1:35" ht="18" customHeight="1" x14ac:dyDescent="0.25">
      <c r="A19" s="76"/>
      <c r="B19" s="77"/>
      <c r="C19" s="77"/>
      <c r="D19" s="77"/>
      <c r="E19" s="78"/>
      <c r="F19" s="76"/>
      <c r="G19" s="77"/>
      <c r="H19" s="77"/>
      <c r="I19" s="78"/>
      <c r="J19" s="1"/>
      <c r="K19" s="76"/>
      <c r="L19" s="77"/>
      <c r="M19" s="77"/>
      <c r="N19" s="77"/>
      <c r="O19" s="77"/>
      <c r="P19" s="77"/>
      <c r="Q19" s="77"/>
      <c r="R19" s="77"/>
      <c r="S19" s="77"/>
      <c r="T19" s="77"/>
      <c r="U19" s="77"/>
      <c r="V19" s="77"/>
      <c r="W19" s="78"/>
      <c r="X19" s="79"/>
      <c r="Y19" s="80"/>
      <c r="Z19" s="80"/>
      <c r="AA19" s="80"/>
      <c r="AB19" s="80"/>
      <c r="AC19" s="80"/>
      <c r="AD19" s="81"/>
      <c r="AE19" s="82">
        <f t="shared" si="0"/>
        <v>0</v>
      </c>
      <c r="AF19" s="83"/>
      <c r="AG19" s="84"/>
      <c r="AH19" s="85"/>
      <c r="AI19" s="85"/>
    </row>
    <row r="20" spans="1:35" ht="18" customHeight="1" x14ac:dyDescent="0.25">
      <c r="A20" s="76"/>
      <c r="B20" s="77"/>
      <c r="C20" s="77"/>
      <c r="D20" s="77"/>
      <c r="E20" s="78"/>
      <c r="F20" s="76"/>
      <c r="G20" s="77"/>
      <c r="H20" s="77"/>
      <c r="I20" s="78"/>
      <c r="J20" s="1"/>
      <c r="K20" s="76"/>
      <c r="L20" s="77"/>
      <c r="M20" s="77"/>
      <c r="N20" s="77"/>
      <c r="O20" s="77"/>
      <c r="P20" s="77"/>
      <c r="Q20" s="77"/>
      <c r="R20" s="77"/>
      <c r="S20" s="77"/>
      <c r="T20" s="77"/>
      <c r="U20" s="77"/>
      <c r="V20" s="77"/>
      <c r="W20" s="78"/>
      <c r="X20" s="82"/>
      <c r="Y20" s="83"/>
      <c r="Z20" s="83"/>
      <c r="AA20" s="83"/>
      <c r="AB20" s="83"/>
      <c r="AC20" s="83"/>
      <c r="AD20" s="84"/>
      <c r="AE20" s="82">
        <f t="shared" si="0"/>
        <v>0</v>
      </c>
      <c r="AF20" s="83"/>
      <c r="AG20" s="84"/>
      <c r="AH20" s="85"/>
      <c r="AI20" s="85"/>
    </row>
    <row r="21" spans="1:35" ht="18" customHeight="1" x14ac:dyDescent="0.25">
      <c r="A21" s="76"/>
      <c r="B21" s="77"/>
      <c r="C21" s="77"/>
      <c r="D21" s="77"/>
      <c r="E21" s="78"/>
      <c r="F21" s="76"/>
      <c r="G21" s="77"/>
      <c r="H21" s="77"/>
      <c r="I21" s="78"/>
      <c r="J21" s="1"/>
      <c r="K21" s="76"/>
      <c r="L21" s="77"/>
      <c r="M21" s="77"/>
      <c r="N21" s="77"/>
      <c r="O21" s="77"/>
      <c r="P21" s="77"/>
      <c r="Q21" s="77"/>
      <c r="R21" s="77"/>
      <c r="S21" s="77"/>
      <c r="T21" s="77"/>
      <c r="U21" s="77"/>
      <c r="V21" s="77"/>
      <c r="W21" s="78"/>
      <c r="X21" s="82"/>
      <c r="Y21" s="83"/>
      <c r="Z21" s="83"/>
      <c r="AA21" s="83"/>
      <c r="AB21" s="83"/>
      <c r="AC21" s="83"/>
      <c r="AD21" s="84"/>
      <c r="AE21" s="82">
        <f t="shared" si="0"/>
        <v>0</v>
      </c>
      <c r="AF21" s="83"/>
      <c r="AG21" s="84"/>
      <c r="AH21" s="85"/>
      <c r="AI21" s="85"/>
    </row>
    <row r="22" spans="1:35" ht="18" customHeight="1" x14ac:dyDescent="0.25">
      <c r="A22" s="76"/>
      <c r="B22" s="77"/>
      <c r="C22" s="77"/>
      <c r="D22" s="77"/>
      <c r="E22" s="78"/>
      <c r="F22" s="76"/>
      <c r="G22" s="77"/>
      <c r="H22" s="77"/>
      <c r="I22" s="78"/>
      <c r="J22" s="1"/>
      <c r="K22" s="76"/>
      <c r="L22" s="77"/>
      <c r="M22" s="77"/>
      <c r="N22" s="77"/>
      <c r="O22" s="77"/>
      <c r="P22" s="77"/>
      <c r="Q22" s="77"/>
      <c r="R22" s="77"/>
      <c r="S22" s="77"/>
      <c r="T22" s="77"/>
      <c r="U22" s="77"/>
      <c r="V22" s="77"/>
      <c r="W22" s="78"/>
      <c r="X22" s="82"/>
      <c r="Y22" s="83"/>
      <c r="Z22" s="83"/>
      <c r="AA22" s="83"/>
      <c r="AB22" s="83"/>
      <c r="AC22" s="83"/>
      <c r="AD22" s="84"/>
      <c r="AE22" s="82">
        <f t="shared" si="0"/>
        <v>0</v>
      </c>
      <c r="AF22" s="83"/>
      <c r="AG22" s="84"/>
      <c r="AH22" s="85"/>
      <c r="AI22" s="85"/>
    </row>
    <row r="23" spans="1:35" ht="18" customHeight="1" x14ac:dyDescent="0.25">
      <c r="A23" s="76"/>
      <c r="B23" s="77"/>
      <c r="C23" s="77"/>
      <c r="D23" s="77"/>
      <c r="E23" s="78"/>
      <c r="F23" s="76"/>
      <c r="G23" s="77"/>
      <c r="H23" s="77"/>
      <c r="I23" s="78"/>
      <c r="J23" s="1"/>
      <c r="K23" s="76"/>
      <c r="L23" s="77"/>
      <c r="M23" s="77"/>
      <c r="N23" s="77"/>
      <c r="O23" s="77"/>
      <c r="P23" s="77"/>
      <c r="Q23" s="77"/>
      <c r="R23" s="77"/>
      <c r="S23" s="77"/>
      <c r="T23" s="77"/>
      <c r="U23" s="77"/>
      <c r="V23" s="77"/>
      <c r="W23" s="78"/>
      <c r="X23" s="82"/>
      <c r="Y23" s="83"/>
      <c r="Z23" s="83"/>
      <c r="AA23" s="83"/>
      <c r="AB23" s="83"/>
      <c r="AC23" s="83"/>
      <c r="AD23" s="84"/>
      <c r="AE23" s="82">
        <f t="shared" si="0"/>
        <v>0</v>
      </c>
      <c r="AF23" s="83"/>
      <c r="AG23" s="84"/>
      <c r="AH23" s="85"/>
      <c r="AI23" s="85"/>
    </row>
    <row r="24" spans="1:35" ht="18" customHeight="1" x14ac:dyDescent="0.25">
      <c r="A24" s="76"/>
      <c r="B24" s="77"/>
      <c r="C24" s="77"/>
      <c r="D24" s="77"/>
      <c r="E24" s="78"/>
      <c r="F24" s="76"/>
      <c r="G24" s="77"/>
      <c r="H24" s="77"/>
      <c r="I24" s="78"/>
      <c r="J24" s="1"/>
      <c r="K24" s="76"/>
      <c r="L24" s="77"/>
      <c r="M24" s="77"/>
      <c r="N24" s="77"/>
      <c r="O24" s="77"/>
      <c r="P24" s="77"/>
      <c r="Q24" s="77"/>
      <c r="R24" s="77"/>
      <c r="S24" s="77"/>
      <c r="T24" s="77"/>
      <c r="U24" s="77"/>
      <c r="V24" s="77"/>
      <c r="W24" s="78"/>
      <c r="X24" s="82"/>
      <c r="Y24" s="83"/>
      <c r="Z24" s="83"/>
      <c r="AA24" s="83"/>
      <c r="AB24" s="83"/>
      <c r="AC24" s="83"/>
      <c r="AD24" s="84"/>
      <c r="AE24" s="82">
        <f t="shared" si="0"/>
        <v>0</v>
      </c>
      <c r="AF24" s="83"/>
      <c r="AG24" s="84"/>
      <c r="AH24" s="85"/>
      <c r="AI24" s="85"/>
    </row>
    <row r="25" spans="1:35" ht="18" customHeight="1" x14ac:dyDescent="0.25">
      <c r="A25" s="76"/>
      <c r="B25" s="77"/>
      <c r="C25" s="77"/>
      <c r="D25" s="77"/>
      <c r="E25" s="78"/>
      <c r="F25" s="76"/>
      <c r="G25" s="77"/>
      <c r="H25" s="77"/>
      <c r="I25" s="78"/>
      <c r="J25" s="1"/>
      <c r="K25" s="76"/>
      <c r="L25" s="77"/>
      <c r="M25" s="77"/>
      <c r="N25" s="77"/>
      <c r="O25" s="77"/>
      <c r="P25" s="77"/>
      <c r="Q25" s="77"/>
      <c r="R25" s="77"/>
      <c r="S25" s="77"/>
      <c r="T25" s="77"/>
      <c r="U25" s="77"/>
      <c r="V25" s="77"/>
      <c r="W25" s="78"/>
      <c r="X25" s="82"/>
      <c r="Y25" s="83"/>
      <c r="Z25" s="83"/>
      <c r="AA25" s="83"/>
      <c r="AB25" s="83"/>
      <c r="AC25" s="83"/>
      <c r="AD25" s="84"/>
      <c r="AE25" s="82">
        <f t="shared" si="0"/>
        <v>0</v>
      </c>
      <c r="AF25" s="83"/>
      <c r="AG25" s="84"/>
      <c r="AH25" s="85"/>
      <c r="AI25" s="85"/>
    </row>
    <row r="26" spans="1:35" ht="18" customHeight="1" x14ac:dyDescent="0.25">
      <c r="A26" s="76"/>
      <c r="B26" s="77"/>
      <c r="C26" s="77"/>
      <c r="D26" s="77"/>
      <c r="E26" s="78"/>
      <c r="F26" s="76"/>
      <c r="G26" s="77"/>
      <c r="H26" s="77"/>
      <c r="I26" s="78"/>
      <c r="J26" s="1"/>
      <c r="K26" s="76"/>
      <c r="L26" s="77"/>
      <c r="M26" s="77"/>
      <c r="N26" s="77"/>
      <c r="O26" s="77"/>
      <c r="P26" s="77"/>
      <c r="Q26" s="77"/>
      <c r="R26" s="77"/>
      <c r="S26" s="77"/>
      <c r="T26" s="77"/>
      <c r="U26" s="77"/>
      <c r="V26" s="77"/>
      <c r="W26" s="78"/>
      <c r="X26" s="82"/>
      <c r="Y26" s="83"/>
      <c r="Z26" s="83"/>
      <c r="AA26" s="83"/>
      <c r="AB26" s="83"/>
      <c r="AC26" s="83"/>
      <c r="AD26" s="84"/>
      <c r="AE26" s="82">
        <f t="shared" si="0"/>
        <v>0</v>
      </c>
      <c r="AF26" s="83"/>
      <c r="AG26" s="84"/>
      <c r="AH26" s="85"/>
      <c r="AI26" s="85"/>
    </row>
    <row r="27" spans="1:35" ht="18" customHeight="1" x14ac:dyDescent="0.25">
      <c r="A27" s="76"/>
      <c r="B27" s="77"/>
      <c r="C27" s="77"/>
      <c r="D27" s="77"/>
      <c r="E27" s="78"/>
      <c r="F27" s="76"/>
      <c r="G27" s="77"/>
      <c r="H27" s="77"/>
      <c r="I27" s="78"/>
      <c r="J27" s="1"/>
      <c r="K27" s="76"/>
      <c r="L27" s="77"/>
      <c r="M27" s="77"/>
      <c r="N27" s="77"/>
      <c r="O27" s="77"/>
      <c r="P27" s="77"/>
      <c r="Q27" s="77"/>
      <c r="R27" s="77"/>
      <c r="S27" s="77"/>
      <c r="T27" s="77"/>
      <c r="U27" s="77"/>
      <c r="V27" s="77"/>
      <c r="W27" s="78"/>
      <c r="X27" s="82"/>
      <c r="Y27" s="83"/>
      <c r="Z27" s="83"/>
      <c r="AA27" s="83"/>
      <c r="AB27" s="83"/>
      <c r="AC27" s="83"/>
      <c r="AD27" s="84"/>
      <c r="AE27" s="82">
        <f t="shared" si="0"/>
        <v>0</v>
      </c>
      <c r="AF27" s="83"/>
      <c r="AG27" s="84"/>
      <c r="AH27" s="85"/>
      <c r="AI27" s="85"/>
    </row>
    <row r="28" spans="1:35" ht="18" customHeight="1" x14ac:dyDescent="0.25">
      <c r="A28" s="76"/>
      <c r="B28" s="77"/>
      <c r="C28" s="77"/>
      <c r="D28" s="77"/>
      <c r="E28" s="78"/>
      <c r="F28" s="76"/>
      <c r="G28" s="77"/>
      <c r="H28" s="77"/>
      <c r="I28" s="78"/>
      <c r="J28" s="1"/>
      <c r="K28" s="76"/>
      <c r="L28" s="77"/>
      <c r="M28" s="77"/>
      <c r="N28" s="77"/>
      <c r="O28" s="77"/>
      <c r="P28" s="77"/>
      <c r="Q28" s="77"/>
      <c r="R28" s="77"/>
      <c r="S28" s="77"/>
      <c r="T28" s="77"/>
      <c r="U28" s="77"/>
      <c r="V28" s="77"/>
      <c r="W28" s="78"/>
      <c r="X28" s="82"/>
      <c r="Y28" s="83"/>
      <c r="Z28" s="83"/>
      <c r="AA28" s="83"/>
      <c r="AB28" s="83"/>
      <c r="AC28" s="83"/>
      <c r="AD28" s="84"/>
      <c r="AE28" s="82">
        <f t="shared" si="0"/>
        <v>0</v>
      </c>
      <c r="AF28" s="83"/>
      <c r="AG28" s="84"/>
      <c r="AH28" s="85"/>
      <c r="AI28" s="85"/>
    </row>
    <row r="29" spans="1:35" ht="18" customHeight="1" x14ac:dyDescent="0.25">
      <c r="A29" s="76"/>
      <c r="B29" s="77"/>
      <c r="C29" s="77"/>
      <c r="D29" s="77"/>
      <c r="E29" s="78"/>
      <c r="F29" s="76"/>
      <c r="G29" s="77"/>
      <c r="H29" s="77"/>
      <c r="I29" s="78"/>
      <c r="J29" s="1"/>
      <c r="K29" s="76"/>
      <c r="L29" s="77"/>
      <c r="M29" s="77"/>
      <c r="N29" s="77"/>
      <c r="O29" s="77"/>
      <c r="P29" s="77"/>
      <c r="Q29" s="77"/>
      <c r="R29" s="77"/>
      <c r="S29" s="77"/>
      <c r="T29" s="77"/>
      <c r="U29" s="77"/>
      <c r="V29" s="77"/>
      <c r="W29" s="78"/>
      <c r="X29" s="82"/>
      <c r="Y29" s="83"/>
      <c r="Z29" s="83"/>
      <c r="AA29" s="83"/>
      <c r="AB29" s="83"/>
      <c r="AC29" s="83"/>
      <c r="AD29" s="84"/>
      <c r="AE29" s="82">
        <f t="shared" si="0"/>
        <v>0</v>
      </c>
      <c r="AF29" s="83"/>
      <c r="AG29" s="84"/>
      <c r="AH29" s="85"/>
      <c r="AI29" s="85"/>
    </row>
    <row r="30" spans="1:35" ht="17.25" customHeight="1" x14ac:dyDescent="0.25">
      <c r="A30" s="76"/>
      <c r="B30" s="77"/>
      <c r="C30" s="77"/>
      <c r="D30" s="77"/>
      <c r="E30" s="78"/>
      <c r="F30" s="76"/>
      <c r="G30" s="77"/>
      <c r="H30" s="77"/>
      <c r="I30" s="78"/>
      <c r="J30" s="1"/>
      <c r="K30" s="76"/>
      <c r="L30" s="77"/>
      <c r="M30" s="77"/>
      <c r="N30" s="77"/>
      <c r="O30" s="77"/>
      <c r="P30" s="77"/>
      <c r="Q30" s="77"/>
      <c r="R30" s="77"/>
      <c r="S30" s="77"/>
      <c r="T30" s="77"/>
      <c r="U30" s="77"/>
      <c r="V30" s="77"/>
      <c r="W30" s="78"/>
      <c r="X30" s="82"/>
      <c r="Y30" s="83"/>
      <c r="Z30" s="83"/>
      <c r="AA30" s="83"/>
      <c r="AB30" s="83"/>
      <c r="AC30" s="83"/>
      <c r="AD30" s="84"/>
      <c r="AE30" s="82">
        <f t="shared" si="0"/>
        <v>0</v>
      </c>
      <c r="AF30" s="83"/>
      <c r="AG30" s="84"/>
      <c r="AH30" s="85"/>
      <c r="AI30" s="85"/>
    </row>
    <row r="31" spans="1:35" ht="17.25" customHeight="1" x14ac:dyDescent="0.25">
      <c r="A31" s="76"/>
      <c r="B31" s="77"/>
      <c r="C31" s="77"/>
      <c r="D31" s="77"/>
      <c r="E31" s="78"/>
      <c r="F31" s="76"/>
      <c r="G31" s="77"/>
      <c r="H31" s="77"/>
      <c r="I31" s="78"/>
      <c r="J31" s="1"/>
      <c r="K31" s="76"/>
      <c r="L31" s="77"/>
      <c r="M31" s="77"/>
      <c r="N31" s="77"/>
      <c r="O31" s="77"/>
      <c r="P31" s="77"/>
      <c r="Q31" s="77"/>
      <c r="R31" s="77"/>
      <c r="S31" s="77"/>
      <c r="T31" s="77"/>
      <c r="U31" s="77"/>
      <c r="V31" s="77"/>
      <c r="W31" s="78"/>
      <c r="X31" s="82"/>
      <c r="Y31" s="83"/>
      <c r="Z31" s="83"/>
      <c r="AA31" s="83"/>
      <c r="AB31" s="83"/>
      <c r="AC31" s="83"/>
      <c r="AD31" s="84"/>
      <c r="AE31" s="82">
        <f t="shared" si="0"/>
        <v>0</v>
      </c>
      <c r="AF31" s="83"/>
      <c r="AG31" s="84"/>
      <c r="AH31" s="85"/>
      <c r="AI31" s="85"/>
    </row>
    <row r="32" spans="1:35" ht="17.25" customHeight="1" x14ac:dyDescent="0.25">
      <c r="A32" s="76"/>
      <c r="B32" s="77"/>
      <c r="C32" s="77"/>
      <c r="D32" s="77"/>
      <c r="E32" s="78"/>
      <c r="F32" s="76"/>
      <c r="G32" s="77"/>
      <c r="H32" s="77"/>
      <c r="I32" s="78"/>
      <c r="J32" s="1"/>
      <c r="K32" s="76"/>
      <c r="L32" s="77"/>
      <c r="M32" s="77"/>
      <c r="N32" s="77"/>
      <c r="O32" s="77"/>
      <c r="P32" s="77"/>
      <c r="Q32" s="77"/>
      <c r="R32" s="77"/>
      <c r="S32" s="77"/>
      <c r="T32" s="77"/>
      <c r="U32" s="77"/>
      <c r="V32" s="77"/>
      <c r="W32" s="78"/>
      <c r="X32" s="82"/>
      <c r="Y32" s="83"/>
      <c r="Z32" s="83"/>
      <c r="AA32" s="83"/>
      <c r="AB32" s="83"/>
      <c r="AC32" s="83"/>
      <c r="AD32" s="84"/>
      <c r="AE32" s="82">
        <f t="shared" si="0"/>
        <v>0</v>
      </c>
      <c r="AF32" s="83"/>
      <c r="AG32" s="84"/>
      <c r="AH32" s="85"/>
      <c r="AI32" s="85"/>
    </row>
    <row r="33" spans="1:35" ht="17.25" customHeight="1" x14ac:dyDescent="0.25">
      <c r="A33" s="76"/>
      <c r="B33" s="77"/>
      <c r="C33" s="77"/>
      <c r="D33" s="77"/>
      <c r="E33" s="78"/>
      <c r="F33" s="76"/>
      <c r="G33" s="77"/>
      <c r="H33" s="77"/>
      <c r="I33" s="78"/>
      <c r="J33" s="2"/>
      <c r="K33" s="87" t="s">
        <v>30</v>
      </c>
      <c r="L33" s="88"/>
      <c r="M33" s="88"/>
      <c r="N33" s="88"/>
      <c r="O33" s="88"/>
      <c r="P33" s="88"/>
      <c r="Q33" s="88"/>
      <c r="R33" s="88"/>
      <c r="S33" s="88"/>
      <c r="T33" s="88"/>
      <c r="U33" s="88"/>
      <c r="V33" s="88"/>
      <c r="W33" s="89"/>
      <c r="X33" s="76"/>
      <c r="Y33" s="77"/>
      <c r="Z33" s="77"/>
      <c r="AA33" s="77"/>
      <c r="AB33" s="77"/>
      <c r="AC33" s="77"/>
      <c r="AD33" s="78"/>
      <c r="AE33" s="90">
        <f>SUM(AE15:AG32)</f>
        <v>0</v>
      </c>
      <c r="AF33" s="90"/>
      <c r="AG33" s="90"/>
      <c r="AH33" s="85"/>
      <c r="AI33" s="85"/>
    </row>
    <row r="34" spans="1:35" ht="17.25" customHeight="1" x14ac:dyDescent="0.25">
      <c r="A34" s="76"/>
      <c r="B34" s="77"/>
      <c r="C34" s="77"/>
      <c r="D34" s="77"/>
      <c r="E34" s="78"/>
      <c r="F34" s="76"/>
      <c r="G34" s="77"/>
      <c r="H34" s="77"/>
      <c r="I34" s="78"/>
      <c r="J34" s="2"/>
      <c r="K34" s="87" t="s">
        <v>31</v>
      </c>
      <c r="L34" s="88"/>
      <c r="M34" s="88"/>
      <c r="N34" s="88"/>
      <c r="O34" s="88"/>
      <c r="P34" s="88"/>
      <c r="Q34" s="88"/>
      <c r="R34" s="88"/>
      <c r="S34" s="88"/>
      <c r="T34" s="88"/>
      <c r="U34" s="88"/>
      <c r="V34" s="88"/>
      <c r="W34" s="89"/>
      <c r="X34" s="76"/>
      <c r="Y34" s="77"/>
      <c r="Z34" s="77"/>
      <c r="AA34" s="77"/>
      <c r="AB34" s="77"/>
      <c r="AC34" s="77"/>
      <c r="AD34" s="78"/>
      <c r="AE34" s="85"/>
      <c r="AF34" s="85"/>
      <c r="AG34" s="85"/>
      <c r="AH34" s="85"/>
      <c r="AI34" s="85"/>
    </row>
  </sheetData>
  <sheetProtection selectLockedCells="1"/>
  <mergeCells count="162">
    <mergeCell ref="A34:E34"/>
    <mergeCell ref="F34:I34"/>
    <mergeCell ref="K34:W34"/>
    <mergeCell ref="X34:AD34"/>
    <mergeCell ref="AE34:AG34"/>
    <mergeCell ref="AH34:AI34"/>
    <mergeCell ref="A33:E33"/>
    <mergeCell ref="F33:I33"/>
    <mergeCell ref="K33:W33"/>
    <mergeCell ref="X33:AD33"/>
    <mergeCell ref="AE33:AG33"/>
    <mergeCell ref="AH33:AI33"/>
    <mergeCell ref="A32:E32"/>
    <mergeCell ref="F32:I32"/>
    <mergeCell ref="K32:W32"/>
    <mergeCell ref="X32:AD32"/>
    <mergeCell ref="AE32:AG32"/>
    <mergeCell ref="AH32:AI32"/>
    <mergeCell ref="A31:E31"/>
    <mergeCell ref="F31:I31"/>
    <mergeCell ref="K31:W31"/>
    <mergeCell ref="X31:AD31"/>
    <mergeCell ref="AE31:AG31"/>
    <mergeCell ref="AH31:AI31"/>
    <mergeCell ref="A30:E30"/>
    <mergeCell ref="F30:I30"/>
    <mergeCell ref="K30:W30"/>
    <mergeCell ref="X30:AD30"/>
    <mergeCell ref="AE30:AG30"/>
    <mergeCell ref="AH30:AI30"/>
    <mergeCell ref="A29:E29"/>
    <mergeCell ref="F29:I29"/>
    <mergeCell ref="K29:W29"/>
    <mergeCell ref="X29:AD29"/>
    <mergeCell ref="AE29:AG29"/>
    <mergeCell ref="AH29:AI29"/>
    <mergeCell ref="A28:E28"/>
    <mergeCell ref="F28:I28"/>
    <mergeCell ref="K28:W28"/>
    <mergeCell ref="X28:AD28"/>
    <mergeCell ref="AE28:AG28"/>
    <mergeCell ref="AH28:AI28"/>
    <mergeCell ref="A27:E27"/>
    <mergeCell ref="F27:I27"/>
    <mergeCell ref="K27:W27"/>
    <mergeCell ref="X27:AD27"/>
    <mergeCell ref="AE27:AG27"/>
    <mergeCell ref="AH27:AI27"/>
    <mergeCell ref="A26:E26"/>
    <mergeCell ref="F26:I26"/>
    <mergeCell ref="K26:W26"/>
    <mergeCell ref="X26:AD26"/>
    <mergeCell ref="AE26:AG26"/>
    <mergeCell ref="AH26:AI26"/>
    <mergeCell ref="A25:E25"/>
    <mergeCell ref="F25:I25"/>
    <mergeCell ref="K25:W25"/>
    <mergeCell ref="X25:AD25"/>
    <mergeCell ref="AE25:AG25"/>
    <mergeCell ref="AH25:AI25"/>
    <mergeCell ref="A24:E24"/>
    <mergeCell ref="F24:I24"/>
    <mergeCell ref="K24:W24"/>
    <mergeCell ref="X24:AD24"/>
    <mergeCell ref="AE24:AG24"/>
    <mergeCell ref="AH24:AI24"/>
    <mergeCell ref="A23:E23"/>
    <mergeCell ref="F23:I23"/>
    <mergeCell ref="K23:W23"/>
    <mergeCell ref="X23:AD23"/>
    <mergeCell ref="AE23:AG23"/>
    <mergeCell ref="AH23:AI23"/>
    <mergeCell ref="A22:E22"/>
    <mergeCell ref="F22:I22"/>
    <mergeCell ref="K22:W22"/>
    <mergeCell ref="X22:AD22"/>
    <mergeCell ref="AE22:AG22"/>
    <mergeCell ref="AH22:AI22"/>
    <mergeCell ref="A21:E21"/>
    <mergeCell ref="F21:I21"/>
    <mergeCell ref="K21:W21"/>
    <mergeCell ref="X21:AD21"/>
    <mergeCell ref="AE21:AG21"/>
    <mergeCell ref="AH21:AI21"/>
    <mergeCell ref="A20:E20"/>
    <mergeCell ref="F20:I20"/>
    <mergeCell ref="K20:W20"/>
    <mergeCell ref="X20:AD20"/>
    <mergeCell ref="AE20:AG20"/>
    <mergeCell ref="AH20:AI20"/>
    <mergeCell ref="A19:E19"/>
    <mergeCell ref="F19:I19"/>
    <mergeCell ref="K19:W19"/>
    <mergeCell ref="X19:AD19"/>
    <mergeCell ref="AE19:AG19"/>
    <mergeCell ref="AH19:AI19"/>
    <mergeCell ref="A18:E18"/>
    <mergeCell ref="F18:I18"/>
    <mergeCell ref="K18:W18"/>
    <mergeCell ref="X18:AD18"/>
    <mergeCell ref="AE18:AG18"/>
    <mergeCell ref="AH18:AI18"/>
    <mergeCell ref="A17:E17"/>
    <mergeCell ref="F17:I17"/>
    <mergeCell ref="K17:W17"/>
    <mergeCell ref="X17:AD17"/>
    <mergeCell ref="AE17:AG17"/>
    <mergeCell ref="AH17:AI17"/>
    <mergeCell ref="A16:E16"/>
    <mergeCell ref="F16:I16"/>
    <mergeCell ref="K16:W16"/>
    <mergeCell ref="X16:AD16"/>
    <mergeCell ref="AE16:AG16"/>
    <mergeCell ref="AH16:AI16"/>
    <mergeCell ref="A15:E15"/>
    <mergeCell ref="F15:I15"/>
    <mergeCell ref="K15:W15"/>
    <mergeCell ref="X15:AD15"/>
    <mergeCell ref="AE15:AG15"/>
    <mergeCell ref="AH15:AI15"/>
    <mergeCell ref="A12:C12"/>
    <mergeCell ref="D12:AH12"/>
    <mergeCell ref="A13:AI13"/>
    <mergeCell ref="A14:E14"/>
    <mergeCell ref="F14:I14"/>
    <mergeCell ref="K14:W14"/>
    <mergeCell ref="X14:AD14"/>
    <mergeCell ref="AE14:AG14"/>
    <mergeCell ref="AH14:AI14"/>
    <mergeCell ref="A11:H11"/>
    <mergeCell ref="I11:L11"/>
    <mergeCell ref="M11:R11"/>
    <mergeCell ref="S11:W11"/>
    <mergeCell ref="X11:Z11"/>
    <mergeCell ref="AA11:AH11"/>
    <mergeCell ref="A10:D10"/>
    <mergeCell ref="E10:L10"/>
    <mergeCell ref="O10:Q10"/>
    <mergeCell ref="R10:W10"/>
    <mergeCell ref="X10:Y10"/>
    <mergeCell ref="Z10:AH10"/>
    <mergeCell ref="A9:E9"/>
    <mergeCell ref="F9:W9"/>
    <mergeCell ref="X9:AA9"/>
    <mergeCell ref="AB9:AH9"/>
    <mergeCell ref="B5:G5"/>
    <mergeCell ref="H5:T5"/>
    <mergeCell ref="B6:G6"/>
    <mergeCell ref="H6:T6"/>
    <mergeCell ref="X6:AE6"/>
    <mergeCell ref="AG6:AH6"/>
    <mergeCell ref="B2:T2"/>
    <mergeCell ref="X2:AF3"/>
    <mergeCell ref="AG2:AH3"/>
    <mergeCell ref="B3:G3"/>
    <mergeCell ref="H3:T3"/>
    <mergeCell ref="B4:G4"/>
    <mergeCell ref="H4:T4"/>
    <mergeCell ref="A8:F8"/>
    <mergeCell ref="G8:W8"/>
    <mergeCell ref="X8:AC8"/>
    <mergeCell ref="AD8:AH8"/>
  </mergeCells>
  <printOptions horizontalCentered="1" verticalCentered="1"/>
  <pageMargins left="0.12" right="0.12" top="0.16" bottom="0.15748031496062992" header="0" footer="0"/>
  <pageSetup paperSize="9" scale="103" orientation="landscape" horizontalDpi="4294967294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23EA9C-D308-40CB-A328-2CB832B544F9}">
  <sheetPr codeName="Planilha4"/>
  <dimension ref="A1:M56"/>
  <sheetViews>
    <sheetView topLeftCell="B1" workbookViewId="0">
      <selection activeCell="D5" sqref="D5"/>
    </sheetView>
  </sheetViews>
  <sheetFormatPr defaultRowHeight="15" x14ac:dyDescent="0.25"/>
  <cols>
    <col min="1" max="1" width="2.28515625" style="22" hidden="1" customWidth="1"/>
    <col min="2" max="2" width="11" style="21" customWidth="1"/>
    <col min="3" max="3" width="12.5703125" style="21" hidden="1" customWidth="1"/>
    <col min="4" max="4" width="58.85546875" style="22" customWidth="1"/>
    <col min="5" max="5" width="14.140625" style="22" customWidth="1"/>
    <col min="6" max="6" width="11.7109375" style="21" customWidth="1"/>
    <col min="7" max="7" width="11.42578125" style="21" hidden="1" customWidth="1"/>
    <col min="8" max="10" width="0" style="21" hidden="1" customWidth="1"/>
    <col min="11" max="11" width="0.28515625" style="21" hidden="1" customWidth="1"/>
    <col min="12" max="12" width="8.7109375" style="22" bestFit="1" customWidth="1"/>
    <col min="13" max="16384" width="9.140625" style="22"/>
  </cols>
  <sheetData>
    <row r="1" spans="2:13" ht="15" customHeight="1" x14ac:dyDescent="0.25">
      <c r="B1" s="91" t="str">
        <f>IF(IMPRESSAO_LUUUCAS!G8="","", IMPRESSAO_LUUUCAS!G8)</f>
        <v/>
      </c>
      <c r="C1" s="91"/>
      <c r="D1" s="91"/>
      <c r="E1" s="91"/>
      <c r="F1" s="91"/>
      <c r="G1" s="91"/>
    </row>
    <row r="2" spans="2:13" ht="15" customHeight="1" x14ac:dyDescent="0.25">
      <c r="B2" s="92"/>
      <c r="C2" s="92"/>
      <c r="D2" s="92"/>
      <c r="E2" s="92"/>
      <c r="F2" s="92"/>
      <c r="G2" s="92"/>
      <c r="H2" s="23"/>
      <c r="I2" s="23"/>
      <c r="J2" s="23"/>
      <c r="K2" s="23"/>
      <c r="L2" s="23"/>
    </row>
    <row r="3" spans="2:13" s="28" customFormat="1" ht="15.75" customHeight="1" x14ac:dyDescent="0.25">
      <c r="B3" s="24" t="s">
        <v>33</v>
      </c>
      <c r="C3" s="25" t="s">
        <v>32</v>
      </c>
      <c r="D3" s="24" t="s">
        <v>34</v>
      </c>
      <c r="E3" s="26" t="s">
        <v>35</v>
      </c>
      <c r="F3" s="24" t="s">
        <v>36</v>
      </c>
      <c r="G3" s="25" t="s">
        <v>37</v>
      </c>
      <c r="H3" s="93" t="s">
        <v>38</v>
      </c>
      <c r="I3" s="93"/>
      <c r="J3" s="93" t="s">
        <v>39</v>
      </c>
      <c r="K3" s="93"/>
      <c r="L3" s="27"/>
    </row>
    <row r="4" spans="2:13" ht="15" customHeight="1" x14ac:dyDescent="0.25">
      <c r="B4" s="29" t="str">
        <f>IF(IMPRESSAO_LUUUCAS!A15="","", IMPRESSAO_LUUUCAS!A15)</f>
        <v/>
      </c>
      <c r="C4" s="30"/>
      <c r="D4" s="29" t="str">
        <f>IF(IMPRESSAO_LUUUCAS!K15="","", IMPRESSAO_LUUUCAS!K15)</f>
        <v/>
      </c>
      <c r="E4" s="29" t="str">
        <f>IF(IMPRESSAO_LUUUCAS!X15="","", IMPRESSAO_LUUUCAS!X15)</f>
        <v/>
      </c>
      <c r="F4" s="31" t="str">
        <f>IF(OR(B4="",E4=""),"", E4*B4)</f>
        <v/>
      </c>
      <c r="G4" s="29" t="e">
        <f>B4*F4</f>
        <v>#VALUE!</v>
      </c>
      <c r="H4" s="29">
        <v>350</v>
      </c>
      <c r="I4" s="29">
        <v>700</v>
      </c>
      <c r="J4" s="29"/>
      <c r="K4" s="29"/>
    </row>
    <row r="5" spans="2:13" ht="15" customHeight="1" x14ac:dyDescent="0.25">
      <c r="B5" s="29" t="str">
        <f>IF(IMPRESSAO_LUUUCAS!A16="","", IMPRESSAO_LUUUCAS!A16)</f>
        <v/>
      </c>
      <c r="C5" s="30"/>
      <c r="D5" s="29" t="str">
        <f>IF(IMPRESSAO_LUUUCAS!K16="","", IMPRESSAO_LUUUCAS!K16)</f>
        <v/>
      </c>
      <c r="E5" s="29" t="str">
        <f>IF(IMPRESSAO_LUUUCAS!X16="","", IMPRESSAO_LUUUCAS!X16)</f>
        <v/>
      </c>
      <c r="F5" s="31" t="str">
        <f t="shared" ref="F5:F22" si="0">IF(OR(B5="",E5=""),"", E5*B5)</f>
        <v/>
      </c>
      <c r="G5" s="29"/>
      <c r="H5" s="29">
        <v>95</v>
      </c>
      <c r="I5" s="29">
        <v>380</v>
      </c>
      <c r="J5" s="29"/>
      <c r="K5" s="29"/>
      <c r="M5"/>
    </row>
    <row r="6" spans="2:13" ht="15" customHeight="1" x14ac:dyDescent="0.25">
      <c r="B6" s="29" t="str">
        <f>IF(IMPRESSAO_LUUUCAS!A17="","", IMPRESSAO_LUUUCAS!A17)</f>
        <v/>
      </c>
      <c r="C6" s="32"/>
      <c r="D6" s="29" t="str">
        <f>IF(IMPRESSAO_LUUUCAS!K17="","", IMPRESSAO_LUUUCAS!K17)</f>
        <v/>
      </c>
      <c r="E6" s="29" t="str">
        <f>IF(IMPRESSAO_LUUUCAS!X17="","", IMPRESSAO_LUUUCAS!X17)</f>
        <v/>
      </c>
      <c r="F6" s="31" t="str">
        <f t="shared" si="0"/>
        <v/>
      </c>
      <c r="G6" s="29"/>
      <c r="H6" s="29">
        <v>135</v>
      </c>
      <c r="I6" s="29">
        <v>135</v>
      </c>
      <c r="J6" s="29"/>
      <c r="K6" s="29"/>
      <c r="M6"/>
    </row>
    <row r="7" spans="2:13" ht="15" customHeight="1" x14ac:dyDescent="0.25">
      <c r="B7" s="29" t="str">
        <f>IF(IMPRESSAO_LUUUCAS!A18="","", IMPRESSAO_LUUUCAS!A18)</f>
        <v/>
      </c>
      <c r="C7" s="32"/>
      <c r="D7" s="29" t="str">
        <f>IF(IMPRESSAO_LUUUCAS!K18="","", IMPRESSAO_LUUUCAS!K18)</f>
        <v/>
      </c>
      <c r="E7" s="29" t="str">
        <f>IF(IMPRESSAO_LUUUCAS!X18="","", IMPRESSAO_LUUUCAS!X18)</f>
        <v/>
      </c>
      <c r="F7" s="31" t="str">
        <f t="shared" si="0"/>
        <v/>
      </c>
      <c r="G7" s="29"/>
      <c r="H7" s="29">
        <v>58</v>
      </c>
      <c r="I7" s="29">
        <v>174</v>
      </c>
      <c r="J7" s="29"/>
      <c r="K7" s="29"/>
      <c r="M7"/>
    </row>
    <row r="8" spans="2:13" ht="15" customHeight="1" x14ac:dyDescent="0.25">
      <c r="B8" s="29" t="str">
        <f>IF(IMPRESSAO_LUUUCAS!A19="","", IMPRESSAO_LUUUCAS!A19)</f>
        <v/>
      </c>
      <c r="C8" s="33"/>
      <c r="D8" s="29" t="str">
        <f>IF(IMPRESSAO_LUUUCAS!K19="","", IMPRESSAO_LUUUCAS!K19)</f>
        <v/>
      </c>
      <c r="E8" s="29" t="str">
        <f>IF(IMPRESSAO_LUUUCAS!X19="","", IMPRESSAO_LUUUCAS!X19)</f>
        <v/>
      </c>
      <c r="F8" s="31" t="str">
        <f t="shared" si="0"/>
        <v/>
      </c>
      <c r="G8" s="34" t="e">
        <f>B8*F8</f>
        <v>#VALUE!</v>
      </c>
      <c r="H8" s="29">
        <v>37.89</v>
      </c>
      <c r="I8" s="29">
        <v>568.35</v>
      </c>
      <c r="J8" s="29"/>
      <c r="K8" s="29"/>
    </row>
    <row r="9" spans="2:13" ht="15" customHeight="1" x14ac:dyDescent="0.25">
      <c r="B9" s="29" t="str">
        <f>IF(IMPRESSAO_LUUUCAS!A20="","", IMPRESSAO_LUUUCAS!A20)</f>
        <v/>
      </c>
      <c r="C9" s="35"/>
      <c r="D9" s="29" t="str">
        <f>IF(IMPRESSAO_LUUUCAS!K20="","", IMPRESSAO_LUUUCAS!K20)</f>
        <v/>
      </c>
      <c r="E9" s="29" t="str">
        <f>IF(IMPRESSAO_LUUUCAS!X20="","", IMPRESSAO_LUUUCAS!X20)</f>
        <v/>
      </c>
      <c r="F9" s="31" t="str">
        <f t="shared" si="0"/>
        <v/>
      </c>
      <c r="G9" s="34" t="e">
        <f>B9*F9</f>
        <v>#VALUE!</v>
      </c>
      <c r="H9" s="29">
        <v>204.9</v>
      </c>
      <c r="I9" s="29">
        <v>204.9</v>
      </c>
      <c r="J9" s="29"/>
      <c r="K9" s="29"/>
      <c r="M9"/>
    </row>
    <row r="10" spans="2:13" ht="15" customHeight="1" x14ac:dyDescent="0.25">
      <c r="B10" s="29" t="str">
        <f>IF(IMPRESSAO_LUUUCAS!A21="","", IMPRESSAO_LUUUCAS!A21)</f>
        <v/>
      </c>
      <c r="C10" s="29"/>
      <c r="D10" s="29" t="str">
        <f>IF(IMPRESSAO_LUUUCAS!K21="","", IMPRESSAO_LUUUCAS!K21)</f>
        <v/>
      </c>
      <c r="E10" s="29" t="str">
        <f>IF(IMPRESSAO_LUUUCAS!X21="","", IMPRESSAO_LUUUCAS!X21)</f>
        <v/>
      </c>
      <c r="F10" s="31" t="str">
        <f t="shared" si="0"/>
        <v/>
      </c>
      <c r="G10" s="34"/>
      <c r="H10" s="29">
        <v>44</v>
      </c>
      <c r="I10" s="29">
        <v>176</v>
      </c>
      <c r="J10" s="29"/>
      <c r="K10" s="29"/>
      <c r="M10"/>
    </row>
    <row r="11" spans="2:13" ht="15" customHeight="1" x14ac:dyDescent="0.25">
      <c r="B11" s="29" t="str">
        <f>IF(IMPRESSAO_LUUUCAS!A22="","", IMPRESSAO_LUUUCAS!A22)</f>
        <v/>
      </c>
      <c r="C11" s="29"/>
      <c r="D11" s="29" t="str">
        <f>IF(IMPRESSAO_LUUUCAS!K22="","", IMPRESSAO_LUUUCAS!K22)</f>
        <v/>
      </c>
      <c r="E11" s="29" t="str">
        <f>IF(IMPRESSAO_LUUUCAS!X22="","", IMPRESSAO_LUUUCAS!X22)</f>
        <v/>
      </c>
      <c r="F11" s="31" t="str">
        <f t="shared" si="0"/>
        <v/>
      </c>
      <c r="G11" s="34"/>
      <c r="H11" s="29"/>
      <c r="I11" s="29"/>
      <c r="J11" s="29"/>
      <c r="K11" s="29"/>
      <c r="M11"/>
    </row>
    <row r="12" spans="2:13" ht="15" customHeight="1" x14ac:dyDescent="0.25">
      <c r="B12" s="29" t="str">
        <f>IF(IMPRESSAO_LUUUCAS!A23="","", IMPRESSAO_LUUUCAS!A23)</f>
        <v/>
      </c>
      <c r="C12" s="29"/>
      <c r="D12" s="29" t="str">
        <f>IF(IMPRESSAO_LUUUCAS!K23="","", IMPRESSAO_LUUUCAS!K23)</f>
        <v/>
      </c>
      <c r="E12" s="29" t="str">
        <f>IF(IMPRESSAO_LUUUCAS!X23="","", IMPRESSAO_LUUUCAS!X23)</f>
        <v/>
      </c>
      <c r="F12" s="31" t="str">
        <f t="shared" si="0"/>
        <v/>
      </c>
      <c r="G12" s="34"/>
      <c r="H12" s="29"/>
      <c r="I12" s="29"/>
      <c r="J12" s="29"/>
      <c r="K12" s="29"/>
      <c r="M12"/>
    </row>
    <row r="13" spans="2:13" ht="15" customHeight="1" x14ac:dyDescent="0.25">
      <c r="B13" s="29" t="str">
        <f>IF(IMPRESSAO_LUUUCAS!A24="","", IMPRESSAO_LUUUCAS!A24)</f>
        <v/>
      </c>
      <c r="C13" s="29"/>
      <c r="D13" s="29" t="str">
        <f>IF(IMPRESSAO_LUUUCAS!K24="","", IMPRESSAO_LUUUCAS!K24)</f>
        <v/>
      </c>
      <c r="E13" s="29" t="str">
        <f>IF(IMPRESSAO_LUUUCAS!X24="","", IMPRESSAO_LUUUCAS!X24)</f>
        <v/>
      </c>
      <c r="F13" s="31" t="str">
        <f t="shared" si="0"/>
        <v/>
      </c>
      <c r="G13" s="34"/>
      <c r="H13" s="29"/>
      <c r="I13" s="29"/>
      <c r="J13" s="29"/>
      <c r="K13" s="29"/>
      <c r="M13"/>
    </row>
    <row r="14" spans="2:13" ht="15" customHeight="1" x14ac:dyDescent="0.25">
      <c r="B14" s="29" t="str">
        <f>IF(IMPRESSAO_LUUUCAS!A25="","", IMPRESSAO_LUUUCAS!A25)</f>
        <v/>
      </c>
      <c r="C14" s="29"/>
      <c r="D14" s="29" t="str">
        <f>IF(IMPRESSAO_LUUUCAS!K25="","", IMPRESSAO_LUUUCAS!K25)</f>
        <v/>
      </c>
      <c r="E14" s="29" t="str">
        <f>IF(IMPRESSAO_LUUUCAS!X25="","", IMPRESSAO_LUUUCAS!X25)</f>
        <v/>
      </c>
      <c r="F14" s="31" t="str">
        <f t="shared" si="0"/>
        <v/>
      </c>
      <c r="G14" s="34"/>
      <c r="H14" s="29"/>
      <c r="I14" s="29"/>
      <c r="J14" s="29"/>
      <c r="K14" s="29"/>
      <c r="M14"/>
    </row>
    <row r="15" spans="2:13" ht="15" customHeight="1" x14ac:dyDescent="0.25">
      <c r="B15" s="29" t="str">
        <f>IF(IMPRESSAO_LUUUCAS!A26="","", IMPRESSAO_LUUUCAS!A26)</f>
        <v/>
      </c>
      <c r="C15" s="29"/>
      <c r="D15" s="29" t="str">
        <f>IF(IMPRESSAO_LUUUCAS!K26="","", IMPRESSAO_LUUUCAS!K26)</f>
        <v/>
      </c>
      <c r="E15" s="29" t="str">
        <f>IF(IMPRESSAO_LUUUCAS!X26="","", IMPRESSAO_LUUUCAS!X26)</f>
        <v/>
      </c>
      <c r="F15" s="31" t="str">
        <f t="shared" si="0"/>
        <v/>
      </c>
      <c r="G15" s="34"/>
      <c r="H15" s="29"/>
      <c r="I15" s="29"/>
      <c r="J15" s="29"/>
      <c r="K15" s="29"/>
      <c r="M15"/>
    </row>
    <row r="16" spans="2:13" ht="15" customHeight="1" x14ac:dyDescent="0.25">
      <c r="B16" s="29" t="str">
        <f>IF(IMPRESSAO_LUUUCAS!A27="","", IMPRESSAO_LUUUCAS!A27)</f>
        <v/>
      </c>
      <c r="C16" s="29"/>
      <c r="D16" s="29" t="str">
        <f>IF(IMPRESSAO_LUUUCAS!K27="","", IMPRESSAO_LUUUCAS!K27)</f>
        <v/>
      </c>
      <c r="E16" s="29" t="str">
        <f>IF(IMPRESSAO_LUUUCAS!X27="","", IMPRESSAO_LUUUCAS!X27)</f>
        <v/>
      </c>
      <c r="F16" s="31" t="str">
        <f t="shared" si="0"/>
        <v/>
      </c>
      <c r="G16" s="34"/>
      <c r="H16" s="29"/>
      <c r="I16" s="29"/>
      <c r="J16" s="29"/>
      <c r="K16" s="29"/>
      <c r="M16"/>
    </row>
    <row r="17" spans="2:13" ht="15" customHeight="1" x14ac:dyDescent="0.25">
      <c r="B17" s="29" t="str">
        <f>IF(IMPRESSAO_LUUUCAS!A28="","", IMPRESSAO_LUUUCAS!A28)</f>
        <v/>
      </c>
      <c r="C17" s="29"/>
      <c r="D17" s="29" t="str">
        <f>IF(IMPRESSAO_LUUUCAS!K28="","", IMPRESSAO_LUUUCAS!K28)</f>
        <v/>
      </c>
      <c r="E17" s="29" t="str">
        <f>IF(IMPRESSAO_LUUUCAS!X28="","", IMPRESSAO_LUUUCAS!X28)</f>
        <v/>
      </c>
      <c r="F17" s="31" t="str">
        <f t="shared" si="0"/>
        <v/>
      </c>
      <c r="G17" s="34"/>
      <c r="H17" s="29"/>
      <c r="I17" s="29"/>
      <c r="J17" s="29"/>
      <c r="K17" s="29"/>
      <c r="M17"/>
    </row>
    <row r="18" spans="2:13" ht="15" customHeight="1" x14ac:dyDescent="0.25">
      <c r="B18" s="29" t="str">
        <f>IF(IMPRESSAO_LUUUCAS!A29="","", IMPRESSAO_LUUUCAS!A29)</f>
        <v/>
      </c>
      <c r="C18" s="29"/>
      <c r="D18" s="29" t="str">
        <f>IF(IMPRESSAO_LUUUCAS!K29="","", IMPRESSAO_LUUUCAS!K29)</f>
        <v/>
      </c>
      <c r="E18" s="29" t="str">
        <f>IF(IMPRESSAO_LUUUCAS!X29="","", IMPRESSAO_LUUUCAS!X29)</f>
        <v/>
      </c>
      <c r="F18" s="31" t="str">
        <f t="shared" si="0"/>
        <v/>
      </c>
      <c r="G18" s="34"/>
      <c r="H18" s="29"/>
      <c r="I18" s="29"/>
      <c r="J18" s="29"/>
      <c r="K18" s="29"/>
      <c r="M18"/>
    </row>
    <row r="19" spans="2:13" ht="15" customHeight="1" x14ac:dyDescent="0.25">
      <c r="B19" s="29" t="str">
        <f>IF(IMPRESSAO_LUUUCAS!A30="","", IMPRESSAO_LUUUCAS!A30)</f>
        <v/>
      </c>
      <c r="C19" s="29"/>
      <c r="D19" s="29" t="str">
        <f>IF(IMPRESSAO_LUUUCAS!K30="","", IMPRESSAO_LUUUCAS!K30)</f>
        <v/>
      </c>
      <c r="E19" s="29" t="str">
        <f>IF(IMPRESSAO_LUUUCAS!X30="","", IMPRESSAO_LUUUCAS!X30)</f>
        <v/>
      </c>
      <c r="F19" s="31" t="str">
        <f t="shared" si="0"/>
        <v/>
      </c>
      <c r="G19" s="34"/>
      <c r="H19" s="29"/>
      <c r="I19" s="29"/>
      <c r="J19" s="29"/>
      <c r="K19" s="29"/>
      <c r="M19"/>
    </row>
    <row r="20" spans="2:13" ht="15" customHeight="1" x14ac:dyDescent="0.25">
      <c r="B20" s="29" t="str">
        <f>IF(IMPRESSAO_LUUUCAS!A31="","", IMPRESSAO_LUUUCAS!A31)</f>
        <v/>
      </c>
      <c r="C20" s="29"/>
      <c r="D20" s="29" t="str">
        <f>IF(IMPRESSAO_LUUUCAS!K31="","", IMPRESSAO_LUUUCAS!K31)</f>
        <v/>
      </c>
      <c r="E20" s="29" t="str">
        <f>IF(IMPRESSAO_LUUUCAS!X31="","", IMPRESSAO_LUUUCAS!X31)</f>
        <v/>
      </c>
      <c r="F20" s="31" t="str">
        <f t="shared" si="0"/>
        <v/>
      </c>
      <c r="G20" s="34"/>
      <c r="H20" s="29"/>
      <c r="I20" s="29"/>
      <c r="J20" s="29"/>
      <c r="K20" s="29"/>
      <c r="M20"/>
    </row>
    <row r="21" spans="2:13" ht="15" customHeight="1" x14ac:dyDescent="0.25">
      <c r="B21" s="29" t="str">
        <f>IF(IMPRESSAO_LUUUCAS!A32="","", IMPRESSAO_LUUUCAS!A32)</f>
        <v/>
      </c>
      <c r="C21" s="29"/>
      <c r="D21" s="29" t="str">
        <f>IF(IMPRESSAO_LUUUCAS!K32="","", IMPRESSAO_LUUUCAS!K32)</f>
        <v/>
      </c>
      <c r="E21" s="29" t="str">
        <f>IF(IMPRESSAO_LUUUCAS!X32="","", IMPRESSAO_LUUUCAS!X32)</f>
        <v/>
      </c>
      <c r="F21" s="31" t="str">
        <f t="shared" si="0"/>
        <v/>
      </c>
      <c r="G21" s="34"/>
      <c r="H21" s="29"/>
      <c r="I21" s="29"/>
      <c r="J21" s="29"/>
      <c r="K21" s="29"/>
      <c r="M21"/>
    </row>
    <row r="22" spans="2:13" ht="15" customHeight="1" x14ac:dyDescent="0.25">
      <c r="B22" s="29"/>
      <c r="C22" s="29"/>
      <c r="D22" s="29" t="str">
        <f>IF([1]IMPRESSÃO!K33="","", [1]IMPRESSÃO!K33)</f>
        <v>TRANSPORTADORA FRETE:</v>
      </c>
      <c r="E22" s="36"/>
      <c r="F22" s="31" t="str">
        <f t="shared" si="0"/>
        <v/>
      </c>
      <c r="G22" s="34"/>
      <c r="H22" s="29"/>
      <c r="I22" s="29"/>
      <c r="J22" s="29"/>
      <c r="K22" s="29"/>
      <c r="M22"/>
    </row>
    <row r="23" spans="2:13" ht="15" customHeight="1" x14ac:dyDescent="0.25">
      <c r="B23" s="94" t="s">
        <v>40</v>
      </c>
      <c r="C23" s="95"/>
      <c r="D23" s="95"/>
      <c r="E23" s="98" t="s">
        <v>41</v>
      </c>
      <c r="F23" s="100">
        <f>SUM(F4:F21)</f>
        <v>0</v>
      </c>
      <c r="G23" s="34" t="e">
        <f>#REF!*#REF!</f>
        <v>#REF!</v>
      </c>
      <c r="H23" s="29">
        <v>18.899999999999999</v>
      </c>
      <c r="I23" s="29">
        <v>340.2</v>
      </c>
      <c r="J23" s="29"/>
      <c r="K23" s="29"/>
    </row>
    <row r="24" spans="2:13" ht="15" customHeight="1" x14ac:dyDescent="0.25">
      <c r="B24" s="96"/>
      <c r="C24" s="97"/>
      <c r="D24" s="97"/>
      <c r="E24" s="99"/>
      <c r="F24" s="101"/>
      <c r="G24" s="34" t="e">
        <f>#REF!*F23</f>
        <v>#REF!</v>
      </c>
      <c r="H24" s="29">
        <v>35.5</v>
      </c>
      <c r="I24" s="29">
        <v>35.5</v>
      </c>
      <c r="J24" s="29"/>
      <c r="K24" s="29"/>
    </row>
    <row r="25" spans="2:13" ht="15" customHeight="1" x14ac:dyDescent="0.25">
      <c r="B25" s="22"/>
      <c r="D25" s="28"/>
      <c r="E25" s="37"/>
      <c r="G25" s="34">
        <f t="shared" ref="G25:G46" si="1">B26*F25</f>
        <v>0</v>
      </c>
      <c r="H25" s="29">
        <v>44</v>
      </c>
      <c r="I25" s="29">
        <v>88</v>
      </c>
      <c r="J25" s="29"/>
      <c r="K25" s="29"/>
      <c r="M25"/>
    </row>
    <row r="26" spans="2:13" ht="15" customHeight="1" x14ac:dyDescent="0.25">
      <c r="E26" s="21"/>
      <c r="G26" s="34">
        <f t="shared" si="1"/>
        <v>0</v>
      </c>
      <c r="H26" s="29">
        <v>34.9</v>
      </c>
      <c r="I26" s="29">
        <v>139.6</v>
      </c>
      <c r="J26" s="29"/>
      <c r="K26" s="29"/>
    </row>
    <row r="27" spans="2:13" ht="15" customHeight="1" x14ac:dyDescent="0.25">
      <c r="E27" s="37"/>
      <c r="G27" s="34">
        <f t="shared" si="1"/>
        <v>0</v>
      </c>
      <c r="H27" s="29">
        <v>16.899999999999999</v>
      </c>
      <c r="I27" s="29">
        <v>33.799999999999997</v>
      </c>
      <c r="J27" s="29"/>
      <c r="K27" s="29"/>
    </row>
    <row r="28" spans="2:13" ht="15" customHeight="1" x14ac:dyDescent="0.25">
      <c r="E28" s="21"/>
      <c r="G28" s="34">
        <f t="shared" si="1"/>
        <v>0</v>
      </c>
      <c r="H28" s="29">
        <v>5.9</v>
      </c>
      <c r="I28" s="29">
        <v>59</v>
      </c>
      <c r="J28" s="29"/>
      <c r="K28" s="29"/>
    </row>
    <row r="29" spans="2:13" ht="15" customHeight="1" x14ac:dyDescent="0.25">
      <c r="E29" s="21"/>
      <c r="G29" s="34">
        <f t="shared" si="1"/>
        <v>0</v>
      </c>
      <c r="H29" s="29">
        <v>20</v>
      </c>
      <c r="I29" s="29">
        <v>120</v>
      </c>
      <c r="J29" s="29"/>
      <c r="K29" s="29"/>
    </row>
    <row r="30" spans="2:13" ht="15" customHeight="1" x14ac:dyDescent="0.25">
      <c r="D30" s="28"/>
      <c r="E30" s="37"/>
      <c r="G30" s="34">
        <f t="shared" si="1"/>
        <v>0</v>
      </c>
      <c r="H30" s="29">
        <v>127</v>
      </c>
      <c r="I30" s="29">
        <v>127</v>
      </c>
      <c r="J30" s="29"/>
      <c r="K30" s="29"/>
    </row>
    <row r="31" spans="2:13" ht="15" customHeight="1" x14ac:dyDescent="0.25">
      <c r="D31" s="28"/>
      <c r="E31" s="37"/>
      <c r="G31" s="34">
        <f t="shared" si="1"/>
        <v>0</v>
      </c>
      <c r="H31" s="29">
        <v>85</v>
      </c>
      <c r="I31" s="29">
        <v>85</v>
      </c>
      <c r="J31" s="29"/>
      <c r="K31" s="29"/>
    </row>
    <row r="32" spans="2:13" ht="15" customHeight="1" x14ac:dyDescent="0.25">
      <c r="D32" s="28"/>
      <c r="E32" s="37"/>
      <c r="G32" s="34">
        <f t="shared" si="1"/>
        <v>0</v>
      </c>
      <c r="H32" s="29">
        <v>151</v>
      </c>
      <c r="I32" s="29">
        <v>302</v>
      </c>
      <c r="J32" s="29"/>
      <c r="K32" s="29"/>
    </row>
    <row r="33" spans="2:13" ht="15" customHeight="1" x14ac:dyDescent="0.25">
      <c r="D33" s="28"/>
      <c r="E33" s="37"/>
      <c r="G33" s="34">
        <f t="shared" si="1"/>
        <v>0</v>
      </c>
      <c r="H33" s="29">
        <v>3.2</v>
      </c>
      <c r="I33" s="29">
        <v>19.2</v>
      </c>
      <c r="J33" s="29"/>
      <c r="K33" s="29"/>
    </row>
    <row r="34" spans="2:13" ht="15" customHeight="1" x14ac:dyDescent="0.25">
      <c r="D34" s="28"/>
      <c r="E34" s="37"/>
      <c r="G34" s="34">
        <f t="shared" si="1"/>
        <v>0</v>
      </c>
      <c r="H34" s="29">
        <v>3.2</v>
      </c>
      <c r="I34" s="29">
        <v>32</v>
      </c>
      <c r="J34" s="29"/>
      <c r="K34" s="29"/>
    </row>
    <row r="35" spans="2:13" ht="15" customHeight="1" x14ac:dyDescent="0.25">
      <c r="D35" s="28"/>
      <c r="E35" s="37"/>
      <c r="G35" s="34">
        <f t="shared" si="1"/>
        <v>0</v>
      </c>
      <c r="H35" s="29">
        <v>3.2</v>
      </c>
      <c r="I35" s="29">
        <v>16</v>
      </c>
      <c r="J35" s="29"/>
      <c r="K35" s="29"/>
    </row>
    <row r="36" spans="2:13" ht="15" customHeight="1" x14ac:dyDescent="0.25">
      <c r="D36" s="28"/>
      <c r="E36" s="37"/>
      <c r="G36" s="34">
        <f t="shared" si="1"/>
        <v>0</v>
      </c>
      <c r="H36" s="29">
        <v>3.2</v>
      </c>
      <c r="I36" s="29">
        <v>38.4</v>
      </c>
      <c r="J36" s="29"/>
      <c r="K36" s="29"/>
    </row>
    <row r="37" spans="2:13" ht="15" customHeight="1" x14ac:dyDescent="0.25">
      <c r="D37" s="28"/>
      <c r="E37" s="37"/>
      <c r="G37" s="34">
        <f t="shared" si="1"/>
        <v>0</v>
      </c>
      <c r="H37" s="29">
        <v>3.2</v>
      </c>
      <c r="I37" s="29">
        <v>38.4</v>
      </c>
      <c r="J37" s="29"/>
      <c r="K37" s="29"/>
    </row>
    <row r="38" spans="2:13" ht="15" customHeight="1" x14ac:dyDescent="0.25">
      <c r="D38" s="28"/>
      <c r="E38" s="37"/>
      <c r="G38" s="34">
        <f t="shared" si="1"/>
        <v>0</v>
      </c>
      <c r="H38" s="29">
        <v>5.5</v>
      </c>
      <c r="I38" s="29">
        <v>66</v>
      </c>
      <c r="J38" s="29"/>
      <c r="K38" s="29"/>
    </row>
    <row r="39" spans="2:13" ht="15" customHeight="1" x14ac:dyDescent="0.25">
      <c r="D39" s="28"/>
      <c r="E39" s="37"/>
      <c r="G39" s="34">
        <f t="shared" si="1"/>
        <v>0</v>
      </c>
      <c r="H39" s="29">
        <v>3.65</v>
      </c>
      <c r="I39" s="29">
        <v>18.25</v>
      </c>
      <c r="J39" s="29"/>
      <c r="K39" s="29"/>
    </row>
    <row r="40" spans="2:13" ht="15" customHeight="1" x14ac:dyDescent="0.25">
      <c r="D40" s="28"/>
      <c r="E40" s="37"/>
      <c r="F40" s="23"/>
      <c r="G40" s="34">
        <f t="shared" si="1"/>
        <v>0</v>
      </c>
      <c r="H40" s="29">
        <v>8.17</v>
      </c>
      <c r="I40" s="29">
        <v>40.85</v>
      </c>
      <c r="J40" s="29"/>
      <c r="K40" s="29"/>
    </row>
    <row r="41" spans="2:13" ht="15.75" customHeight="1" x14ac:dyDescent="0.25">
      <c r="B41" s="23"/>
      <c r="D41" s="28"/>
      <c r="E41" s="37"/>
      <c r="G41" s="34">
        <f t="shared" si="1"/>
        <v>0</v>
      </c>
      <c r="H41" s="29">
        <v>8.07</v>
      </c>
      <c r="I41" s="29">
        <v>40.35</v>
      </c>
      <c r="J41" s="29"/>
      <c r="K41" s="29"/>
    </row>
    <row r="42" spans="2:13" ht="15.75" customHeight="1" x14ac:dyDescent="0.25">
      <c r="D42" s="28"/>
      <c r="E42" s="37"/>
      <c r="G42" s="34">
        <f t="shared" si="1"/>
        <v>0</v>
      </c>
      <c r="H42" s="29">
        <v>2.2599999999999998</v>
      </c>
      <c r="I42" s="29">
        <v>18.079999999999998</v>
      </c>
      <c r="J42" s="29"/>
      <c r="K42" s="29"/>
    </row>
    <row r="43" spans="2:13" ht="15" customHeight="1" x14ac:dyDescent="0.25">
      <c r="D43" s="28"/>
      <c r="E43" s="37"/>
      <c r="G43" s="34">
        <f t="shared" si="1"/>
        <v>0</v>
      </c>
      <c r="H43" s="29">
        <v>62</v>
      </c>
      <c r="I43" s="29">
        <v>62</v>
      </c>
      <c r="J43" s="29"/>
      <c r="K43" s="29"/>
    </row>
    <row r="44" spans="2:13" ht="15" customHeight="1" x14ac:dyDescent="0.25">
      <c r="D44" s="28"/>
      <c r="E44" s="37"/>
      <c r="G44" s="34">
        <f t="shared" si="1"/>
        <v>0</v>
      </c>
      <c r="H44" s="29">
        <v>65</v>
      </c>
      <c r="I44" s="29">
        <v>65</v>
      </c>
      <c r="J44" s="29"/>
      <c r="K44" s="29"/>
    </row>
    <row r="45" spans="2:13" ht="15" customHeight="1" x14ac:dyDescent="0.25">
      <c r="D45" s="28"/>
      <c r="E45" s="37"/>
      <c r="G45" s="34">
        <f t="shared" si="1"/>
        <v>0</v>
      </c>
      <c r="H45" s="29">
        <v>2.48</v>
      </c>
      <c r="I45" s="29">
        <v>49.6</v>
      </c>
      <c r="J45" s="29"/>
      <c r="K45" s="29"/>
      <c r="M45"/>
    </row>
    <row r="46" spans="2:13" ht="15" customHeight="1" x14ac:dyDescent="0.25">
      <c r="D46" s="28"/>
      <c r="E46" s="37"/>
      <c r="G46" s="34">
        <f t="shared" si="1"/>
        <v>0</v>
      </c>
      <c r="H46" s="29">
        <v>2.48</v>
      </c>
      <c r="I46" s="21">
        <v>62</v>
      </c>
      <c r="J46" s="38"/>
      <c r="K46" s="29"/>
    </row>
    <row r="47" spans="2:13" ht="15" customHeight="1" x14ac:dyDescent="0.25">
      <c r="D47" s="28"/>
      <c r="E47" s="37"/>
      <c r="G47" s="34" t="e">
        <f>SUM(G4:G46)</f>
        <v>#VALUE!</v>
      </c>
      <c r="H47" s="29">
        <v>2.48</v>
      </c>
      <c r="I47" s="29">
        <v>49.6</v>
      </c>
      <c r="J47" s="29"/>
      <c r="K47" s="29"/>
    </row>
    <row r="48" spans="2:13" x14ac:dyDescent="0.25">
      <c r="E48" s="21"/>
      <c r="G48" s="34"/>
      <c r="H48" s="29">
        <v>2.48</v>
      </c>
      <c r="I48" s="29">
        <v>37.200000000000003</v>
      </c>
      <c r="J48" s="29"/>
      <c r="K48" s="29"/>
    </row>
    <row r="49" spans="4:11" ht="15" customHeight="1" x14ac:dyDescent="0.25">
      <c r="D49" s="28"/>
      <c r="E49" s="37"/>
      <c r="G49" s="34"/>
      <c r="H49" s="29">
        <v>5.2</v>
      </c>
      <c r="I49" s="29">
        <v>78</v>
      </c>
      <c r="J49" s="29"/>
      <c r="K49" s="29"/>
    </row>
    <row r="50" spans="4:11" x14ac:dyDescent="0.25">
      <c r="E50" s="21"/>
      <c r="G50" s="34"/>
      <c r="H50" s="29">
        <v>5.0999999999999996</v>
      </c>
      <c r="I50" s="29">
        <v>20.399999999999999</v>
      </c>
      <c r="J50" s="29"/>
      <c r="K50" s="29"/>
    </row>
    <row r="51" spans="4:11" x14ac:dyDescent="0.25">
      <c r="E51" s="21"/>
      <c r="G51" s="39"/>
      <c r="H51" s="40">
        <v>5.23</v>
      </c>
      <c r="I51" s="40">
        <v>209.2</v>
      </c>
      <c r="J51" s="40"/>
      <c r="K51" s="40"/>
    </row>
    <row r="52" spans="4:11" x14ac:dyDescent="0.25">
      <c r="E52" s="21"/>
      <c r="H52" s="21">
        <v>45</v>
      </c>
      <c r="I52" s="21">
        <v>270</v>
      </c>
    </row>
    <row r="53" spans="4:11" x14ac:dyDescent="0.25">
      <c r="E53" s="21"/>
      <c r="H53" s="21">
        <v>22.9</v>
      </c>
      <c r="I53" s="21">
        <v>68.7</v>
      </c>
    </row>
    <row r="54" spans="4:11" x14ac:dyDescent="0.25">
      <c r="E54" s="21"/>
    </row>
    <row r="55" spans="4:11" x14ac:dyDescent="0.25">
      <c r="E55" s="21"/>
    </row>
    <row r="56" spans="4:11" x14ac:dyDescent="0.25">
      <c r="E56" s="21"/>
    </row>
  </sheetData>
  <sheetProtection selectLockedCells="1"/>
  <mergeCells count="6">
    <mergeCell ref="B1:G2"/>
    <mergeCell ref="H3:I3"/>
    <mergeCell ref="J3:K3"/>
    <mergeCell ref="B23:D24"/>
    <mergeCell ref="E23:E24"/>
    <mergeCell ref="F23:F24"/>
  </mergeCells>
  <printOptions horizontalCentered="1" verticalCentered="1"/>
  <pageMargins left="0.19685039370078741" right="0.19685039370078741" top="0.23622047244094491" bottom="0.88" header="0" footer="0"/>
  <pageSetup paperSize="9" scale="135" orientation="landscape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2</vt:i4>
      </vt:variant>
    </vt:vector>
  </HeadingPairs>
  <TitlesOfParts>
    <vt:vector size="2" baseType="lpstr">
      <vt:lpstr>IMPRESSAO_LUUUCAS</vt:lpstr>
      <vt:lpstr>FORNECEDOR_LUUUCAS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</dc:creator>
  <cp:lastModifiedBy>Usuario</cp:lastModifiedBy>
  <cp:lastPrinted>2025-09-22T17:48:19Z</cp:lastPrinted>
  <dcterms:created xsi:type="dcterms:W3CDTF">2025-09-19T17:33:24Z</dcterms:created>
  <dcterms:modified xsi:type="dcterms:W3CDTF">2025-10-20T15:46:32Z</dcterms:modified>
</cp:coreProperties>
</file>